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80c79fe54374f1b" /></Relationships>
</file>

<file path=xl/workbook.xml><?xml version="1.0" encoding="utf-8"?>
<x:workbook xmlns:x="http://schemas.openxmlformats.org/spreadsheetml/2006/main">
  <x:sheets>
    <x:sheet xmlns:r="http://schemas.openxmlformats.org/officeDocument/2006/relationships" name="Dashboard" sheetId="1" r:id="R6d24a5f3ed2e4125"/>
    <x:sheet xmlns:r="http://schemas.openxmlformats.org/officeDocument/2006/relationships" name="Visits" sheetId="2" r:id="Rb77ce8afab8140d7"/>
    <x:sheet xmlns:r="http://schemas.openxmlformats.org/officeDocument/2006/relationships" name="Clients &amp; Pets" sheetId="3" r:id="Rcb65afba69444ae2"/>
    <x:sheet xmlns:r="http://schemas.openxmlformats.org/officeDocument/2006/relationships" name="Expenses" sheetId="4" r:id="Rd2c070508fee4ff5"/>
    <x:sheet xmlns:r="http://schemas.openxmlformats.org/officeDocument/2006/relationships" name="Services" sheetId="5" r:id="R612893a7efe14f92"/>
    <x:sheet xmlns:r="http://schemas.openxmlformats.org/officeDocument/2006/relationships" name="Guide &amp; Sources" sheetId="6" r:id="Ra71b484616404e24"/>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yyyy-mm-dd"/>
    <x:numFmt numFmtId="201" formatCode="$0.00"/>
    <x:numFmt numFmtId="202" formatCode="$#,##0.00;[Red]($#,##0.00);-"/>
    <x:numFmt numFmtId="203" formatCode="0.0%"/>
    <x:numFmt numFmtId="204" formatCode="$#,##0.00"/>
  </x:numFmts>
  <x:fonts count="8">
    <x:font>
      <x:sz val="11"/>
      <x:name val="Carlito"/>
    </x:font>
    <x:font>
      <x:sz val="10"/>
      <x:color rgb="FF1F2937"/>
      <x:name val="Arial"/>
    </x:font>
    <x:font>
      <x:b/>
      <x:sz val="15"/>
      <x:color rgb="FF17324D"/>
      <x:name val="Arial"/>
    </x:font>
    <x:font>
      <x:i/>
      <x:sz val="10"/>
      <x:color rgb="FF64748B"/>
      <x:name val="Arial"/>
    </x:font>
    <x:font>
      <x:b/>
      <x:sz val="10"/>
      <x:color rgb="FF17324D"/>
      <x:name val="Arial"/>
    </x:font>
    <x:font>
      <x:b/>
      <x:sz val="14"/>
      <x:color rgb="FF17324D"/>
      <x:name val="Arial"/>
    </x:font>
    <x:font>
      <x:b/>
      <x:sz val="10"/>
      <x:color rgb="FF991B1B"/>
      <x:name val="Arial"/>
    </x:font>
    <x:font>
      <x:b/>
      <x:sz val="10"/>
      <x:color rgb="FFFFFFFF"/>
      <x:name val="Arial"/>
    </x:font>
  </x:fonts>
  <x:fills count="6">
    <x:fill>
      <x:patternFill patternType="none"/>
    </x:fill>
    <x:fill>
      <x:patternFill patternType="gray125"/>
    </x:fill>
    <x:fill>
      <x:patternFill patternType="solid">
        <x:fgColor rgb="FFFFF3CD"/>
      </x:patternFill>
    </x:fill>
    <x:fill>
      <x:patternFill patternType="solid">
        <x:fgColor rgb="FFEAF3F8"/>
      </x:patternFill>
    </x:fill>
    <x:fill>
      <x:patternFill patternType="solid">
        <x:fgColor rgb="FFFDECEC"/>
      </x:patternFill>
    </x:fill>
    <x:fill>
      <x:patternFill patternType="solid">
        <x:fgColor rgb="FF17324D"/>
      </x:patternFill>
    </x:fill>
  </x:fills>
  <x:borders count="26">
    <x:border/>
    <x:border>
      <x:bottom style="thin">
        <x:color rgb="FF2E6F95"/>
      </x:bottom>
    </x:border>
    <x:border>
      <x:left style="thin">
        <x:color rgb="FFD6A94C"/>
      </x:left>
      <x:right style="thin">
        <x:color rgb="FFD6A94C"/>
      </x:right>
      <x:top style="thin">
        <x:color rgb="FFD6A94C"/>
      </x:top>
      <x:bottom style="thin">
        <x:color rgb="FFD6A94C"/>
      </x:bottom>
    </x:border>
    <x:border>
      <x:left style="thin">
        <x:color rgb="FFB8CFDC"/>
      </x:left>
      <x:top style="thin">
        <x:color rgb="FFB8CFDC"/>
      </x:top>
      <x:bottom style="thin">
        <x:color rgb="FFB8CFDC"/>
      </x:bottom>
    </x:border>
    <x:border>
      <x:right style="thin">
        <x:color rgb="FFB8CFDC"/>
      </x:right>
      <x:top style="thin">
        <x:color rgb="FFB8CFDC"/>
      </x:top>
      <x:bottom style="thin">
        <x:color rgb="FFB8CFDC"/>
      </x:bottom>
    </x:border>
    <x:border>
      <x:left style="thin">
        <x:color rgb="FFE2E8F0"/>
      </x:left>
      <x:top style="thin">
        <x:color rgb="FFE2E8F0"/>
      </x:top>
    </x:border>
    <x:border>
      <x:top style="thin">
        <x:color rgb="FFE2E8F0"/>
      </x:top>
    </x:border>
    <x:border>
      <x:right style="thin">
        <x:color rgb="FFE2E8F0"/>
      </x:right>
      <x:top style="thin">
        <x:color rgb="FFE2E8F0"/>
      </x:top>
    </x:border>
    <x:border>
      <x:left style="thin">
        <x:color rgb="FFE2E8F0"/>
      </x:left>
      <x:bottom style="thin">
        <x:color rgb="FFE2E8F0"/>
      </x:bottom>
    </x:border>
    <x:border>
      <x:bottom style="thin">
        <x:color rgb="FFE2E8F0"/>
      </x:bottom>
    </x:border>
    <x:border>
      <x:right style="thin">
        <x:color rgb="FFE2E8F0"/>
      </x:right>
      <x:bottom style="thin">
        <x:color rgb="FFE2E8F0"/>
      </x:bottom>
    </x:border>
    <x:border>
      <x:top style="thin">
        <x:color rgb="FFB8CFDC"/>
      </x:top>
      <x:bottom style="thin">
        <x:color rgb="FFB8CFDC"/>
      </x:bottom>
    </x:border>
    <x:border>
      <x:right style="thin">
        <x:color rgb="FFFFFFFF"/>
      </x:right>
      <x:bottom style="thin">
        <x:color rgb="FF17324D"/>
      </x:bottom>
    </x:border>
    <x:border>
      <x:left style="thin">
        <x:color rgb="FFFFFFFF"/>
      </x:left>
      <x:right style="thin">
        <x:color rgb="FFFFFFFF"/>
      </x:right>
      <x:bottom style="thin">
        <x:color rgb="FF17324D"/>
      </x:bottom>
    </x:border>
    <x:border>
      <x:left style="thin">
        <x:color rgb="FFFFFFFF"/>
      </x:left>
      <x:bottom style="thin">
        <x:color rgb="FF17324D"/>
      </x:bottom>
    </x:border>
    <x:border>
      <x:left style="thin">
        <x:color rgb="FFD6A94C"/>
      </x:left>
      <x:top style="thin">
        <x:color rgb="FFD6A94C"/>
      </x:top>
    </x:border>
    <x:border>
      <x:top style="thin">
        <x:color rgb="FFD6A94C"/>
      </x:top>
    </x:border>
    <x:border>
      <x:right style="thin">
        <x:color rgb="FFD6A94C"/>
      </x:right>
      <x:top style="thin">
        <x:color rgb="FFD6A94C"/>
      </x:top>
    </x:border>
    <x:border>
      <x:left style="thin">
        <x:color rgb="FFD6A94C"/>
      </x:left>
    </x:border>
    <x:border>
      <x:right style="thin">
        <x:color rgb="FFD6A94C"/>
      </x:right>
    </x:border>
    <x:border>
      <x:left style="thin">
        <x:color rgb="FFD6A94C"/>
      </x:left>
      <x:bottom style="thin">
        <x:color rgb="FFD6A94C"/>
      </x:bottom>
    </x:border>
    <x:border>
      <x:bottom style="thin">
        <x:color rgb="FFD6A94C"/>
      </x:bottom>
    </x:border>
    <x:border>
      <x:right style="thin">
        <x:color rgb="FFD6A94C"/>
      </x:right>
      <x:bottom style="thin">
        <x:color rgb="FFD6A94C"/>
      </x:bottom>
    </x:border>
    <x:border>
      <x:left style="thin">
        <x:color rgb="FFD6A94C"/>
      </x:left>
      <x:right style="thin">
        <x:color rgb="FFD6A94C"/>
      </x:right>
      <x:top style="thin">
        <x:color rgb="FFD6A94C"/>
      </x:top>
    </x:border>
    <x:border>
      <x:left style="thin">
        <x:color rgb="FFD6A94C"/>
      </x:left>
      <x:right style="thin">
        <x:color rgb="FFD6A94C"/>
      </x:right>
    </x:border>
    <x:border>
      <x:left style="thin">
        <x:color rgb="FFD6A94C"/>
      </x:left>
      <x:right style="thin">
        <x:color rgb="FFD6A94C"/>
      </x:right>
      <x:bottom style="thin">
        <x:color rgb="FFD6A94C"/>
      </x:bottom>
    </x:border>
  </x:borders>
  <x:cellStyleXfs count="1">
    <x:xf numFmtId="0" fontId="0" fillId="0" borderId="0"/>
  </x:cellStyleXfs>
  <x:cellXfs count="7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0" fontId="1" fillId="2" borderId="0" xfId="0" applyNumberFormat="1" applyFont="1" applyFill="1" applyBorder="1" applyAlignment="1">
      <x:alignment vertical="center"/>
    </x:xf>
    <x:xf numFmtId="0" fontId="1" fillId="2" borderId="2" xfId="0" applyNumberFormat="1" applyFont="1" applyFill="1" applyBorder="1" applyAlignment="1">
      <x:alignment vertical="center"/>
    </x:xf>
    <x:xf numFmtId="200" fontId="1" fillId="2" borderId="2" xfId="0" applyNumberFormat="1" applyFont="1" applyFill="1" applyBorder="1" applyAlignment="1">
      <x:alignment vertical="center"/>
    </x:xf>
    <x:xf numFmtId="201" fontId="1" fillId="2" borderId="2" xfId="0" applyNumberFormat="1" applyFont="1" applyFill="1" applyBorder="1" applyAlignment="1">
      <x:alignment vertical="center"/>
    </x:xf>
    <x:xf numFmtId="0" fontId="1"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4" fillId="3" borderId="3" xfId="0" applyNumberFormat="1" applyFont="1" applyFill="1" applyBorder="1" applyAlignment="1">
      <x:alignment vertical="center"/>
    </x:xf>
    <x:xf numFmtId="0" fontId="4" fillId="3" borderId="4" xfId="0" applyNumberFormat="1" applyFont="1" applyFill="1" applyBorder="1" applyAlignment="1">
      <x:alignment vertical="center"/>
    </x:xf>
    <x:xf numFmtId="202" fontId="1" fillId="0" borderId="0" xfId="0" applyNumberFormat="1" applyFont="1" applyFill="1" applyBorder="1" applyAlignment="1">
      <x:alignment vertical="center"/>
    </x:xf>
    <x:xf numFmtId="202" fontId="5" fillId="0" borderId="0" xfId="0" applyNumberFormat="1" applyFont="1" applyFill="1" applyBorder="1" applyAlignment="1">
      <x:alignment vertical="center"/>
    </x:xf>
    <x:xf numFmtId="202" fontId="5" fillId="0" borderId="0" xfId="0" applyNumberFormat="1" applyFont="1" applyFill="1" applyBorder="1" applyAlignment="1">
      <x:alignment horizontal="center" vertical="center"/>
    </x:xf>
    <x:xf numFmtId="202" fontId="5" fillId="0" borderId="5" xfId="0" applyNumberFormat="1" applyFont="1" applyFill="1" applyBorder="1" applyAlignment="1">
      <x:alignment horizontal="center" vertical="center"/>
    </x:xf>
    <x:xf numFmtId="202" fontId="5" fillId="0" borderId="6" xfId="0" applyNumberFormat="1" applyFont="1" applyFill="1" applyBorder="1" applyAlignment="1">
      <x:alignment horizontal="center" vertical="center"/>
    </x:xf>
    <x:xf numFmtId="202" fontId="5" fillId="0" borderId="7" xfId="0" applyNumberFormat="1" applyFont="1" applyFill="1" applyBorder="1" applyAlignment="1">
      <x:alignment horizontal="center" vertical="center"/>
    </x:xf>
    <x:xf numFmtId="202" fontId="5" fillId="0" borderId="8" xfId="0" applyNumberFormat="1" applyFont="1" applyFill="1" applyBorder="1" applyAlignment="1">
      <x:alignment horizontal="center" vertical="center"/>
    </x:xf>
    <x:xf numFmtId="202" fontId="5" fillId="0" borderId="9" xfId="0" applyNumberFormat="1" applyFont="1" applyFill="1" applyBorder="1" applyAlignment="1">
      <x:alignment horizontal="center" vertical="center"/>
    </x:xf>
    <x:xf numFmtId="202" fontId="5" fillId="0" borderId="10" xfId="0" applyNumberFormat="1" applyFont="1" applyFill="1" applyBorder="1" applyAlignment="1">
      <x:alignment horizontal="center" vertical="center"/>
    </x:xf>
    <x:xf numFmtId="0" fontId="5" fillId="0" borderId="0" xfId="0" applyNumberFormat="1" applyFont="1" applyFill="1" applyBorder="1" applyAlignment="1">
      <x:alignment vertical="center"/>
    </x:xf>
    <x:xf numFmtId="0" fontId="5" fillId="0" borderId="0" xfId="0" applyNumberFormat="1" applyFont="1" applyFill="1" applyBorder="1" applyAlignment="1">
      <x:alignment horizontal="center" vertical="center"/>
    </x:xf>
    <x:xf numFmtId="0" fontId="5" fillId="0" borderId="5" xfId="0" applyNumberFormat="1" applyFont="1" applyFill="1" applyBorder="1" applyAlignment="1">
      <x:alignment horizontal="center" vertical="center"/>
    </x:xf>
    <x:xf numFmtId="0" fontId="5" fillId="0" borderId="6" xfId="0" applyNumberFormat="1" applyFont="1" applyFill="1" applyBorder="1" applyAlignment="1">
      <x:alignment horizontal="center" vertical="center"/>
    </x:xf>
    <x:xf numFmtId="0" fontId="5" fillId="0" borderId="7" xfId="0" applyNumberFormat="1" applyFont="1" applyFill="1" applyBorder="1" applyAlignment="1">
      <x:alignment horizontal="center" vertical="center"/>
    </x:xf>
    <x:xf numFmtId="0" fontId="5" fillId="0" borderId="8" xfId="0" applyNumberFormat="1" applyFont="1" applyFill="1" applyBorder="1" applyAlignment="1">
      <x:alignment horizontal="center" vertical="center"/>
    </x:xf>
    <x:xf numFmtId="0" fontId="5" fillId="0" borderId="9" xfId="0" applyNumberFormat="1" applyFont="1" applyFill="1" applyBorder="1" applyAlignment="1">
      <x:alignment horizontal="center" vertical="center"/>
    </x:xf>
    <x:xf numFmtId="0" fontId="5" fillId="0" borderId="10" xfId="0" applyNumberFormat="1" applyFont="1" applyFill="1" applyBorder="1" applyAlignment="1">
      <x:alignment horizontal="center" vertical="center"/>
    </x:xf>
    <x:xf numFmtId="203" fontId="5" fillId="0" borderId="6" xfId="0" applyNumberFormat="1" applyFont="1" applyFill="1" applyBorder="1" applyAlignment="1">
      <x:alignment horizontal="center" vertical="center"/>
    </x:xf>
    <x:xf numFmtId="203" fontId="5" fillId="0" borderId="9" xfId="0" applyNumberFormat="1" applyFont="1" applyFill="1" applyBorder="1" applyAlignment="1">
      <x:alignment horizontal="center" vertical="center"/>
    </x:xf>
    <x:xf numFmtId="0" fontId="4" fillId="3" borderId="11"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4" borderId="0" xfId="0" applyNumberFormat="1" applyFont="1" applyFill="1" applyBorder="1" applyAlignment="1">
      <x:alignment vertical="center"/>
    </x:xf>
    <x:xf numFmtId="0" fontId="6" fillId="4" borderId="0" xfId="0" applyNumberFormat="1" applyFont="1" applyFill="1" applyBorder="1" applyAlignment="1">
      <x:alignment vertical="center"/>
    </x:xf>
    <x:xf numFmtId="0" fontId="6" fillId="4" borderId="0" xfId="0" applyNumberFormat="1" applyFont="1" applyFill="1" applyBorder="1" applyAlignment="1">
      <x:alignment vertical="center" wrapText="1"/>
    </x:xf>
    <x:xf numFmtId="0" fontId="1" fillId="5" borderId="0" xfId="0" applyNumberFormat="1" applyFont="1" applyFill="1" applyBorder="1" applyAlignment="1">
      <x:alignment vertical="center"/>
    </x:xf>
    <x:xf numFmtId="0" fontId="7" fillId="5" borderId="0" xfId="0" applyNumberFormat="1" applyFont="1" applyFill="1" applyBorder="1" applyAlignment="1">
      <x:alignment vertical="center"/>
    </x:xf>
    <x:xf numFmtId="0" fontId="7" fillId="5" borderId="0" xfId="0" applyNumberFormat="1" applyFont="1" applyFill="1" applyBorder="1" applyAlignment="1">
      <x:alignment horizontal="center" vertical="center"/>
    </x:xf>
    <x:xf numFmtId="0" fontId="7" fillId="5" borderId="0" xfId="0" applyNumberFormat="1" applyFont="1" applyFill="1" applyBorder="1" applyAlignment="1">
      <x:alignment horizontal="center" vertical="center" wrapText="1"/>
    </x:xf>
    <x:xf numFmtId="0" fontId="7" fillId="5" borderId="12" xfId="0" applyNumberFormat="1" applyFont="1" applyFill="1" applyBorder="1" applyAlignment="1">
      <x:alignment horizontal="center" vertical="center" wrapText="1"/>
    </x:xf>
    <x:xf numFmtId="0" fontId="7" fillId="5" borderId="13" xfId="0" applyNumberFormat="1" applyFont="1" applyFill="1" applyBorder="1" applyAlignment="1">
      <x:alignment horizontal="center" vertical="center" wrapText="1"/>
    </x:xf>
    <x:xf numFmtId="0" fontId="7" fillId="5" borderId="14" xfId="0" applyNumberFormat="1" applyFont="1" applyFill="1" applyBorder="1" applyAlignment="1">
      <x:alignment horizontal="center" vertical="center" wrapText="1"/>
    </x:xf>
    <x:xf numFmtId="0" fontId="1" fillId="2" borderId="15" xfId="0" applyNumberFormat="1" applyFont="1" applyFill="1" applyBorder="1" applyAlignment="1">
      <x:alignment vertical="center"/>
    </x:xf>
    <x:xf numFmtId="0" fontId="1" fillId="2" borderId="16" xfId="0" applyNumberFormat="1" applyFont="1" applyFill="1" applyBorder="1" applyAlignment="1">
      <x:alignment vertical="center"/>
    </x:xf>
    <x:xf numFmtId="0" fontId="1" fillId="2" borderId="17" xfId="0" applyNumberFormat="1" applyFont="1" applyFill="1" applyBorder="1" applyAlignment="1">
      <x:alignment vertical="center"/>
    </x:xf>
    <x:xf numFmtId="0" fontId="1" fillId="2" borderId="18" xfId="0" applyNumberFormat="1" applyFont="1" applyFill="1" applyBorder="1" applyAlignment="1">
      <x:alignment vertical="center"/>
    </x:xf>
    <x:xf numFmtId="0" fontId="1" fillId="2" borderId="19" xfId="0" applyNumberFormat="1" applyFont="1" applyFill="1" applyBorder="1" applyAlignment="1">
      <x:alignment vertical="center"/>
    </x:xf>
    <x:xf numFmtId="0" fontId="1" fillId="2" borderId="20" xfId="0" applyNumberFormat="1" applyFont="1" applyFill="1" applyBorder="1" applyAlignment="1">
      <x:alignment vertical="center"/>
    </x:xf>
    <x:xf numFmtId="0" fontId="1" fillId="2" borderId="21" xfId="0" applyNumberFormat="1" applyFont="1" applyFill="1" applyBorder="1" applyAlignment="1">
      <x:alignment vertical="center"/>
    </x:xf>
    <x:xf numFmtId="0" fontId="1" fillId="2" borderId="22" xfId="0" applyNumberFormat="1" applyFont="1" applyFill="1" applyBorder="1" applyAlignment="1">
      <x:alignment vertical="center"/>
    </x:xf>
    <x:xf numFmtId="0" fontId="1" fillId="2" borderId="23" xfId="0" applyNumberFormat="1" applyFont="1" applyFill="1" applyBorder="1" applyAlignment="1">
      <x:alignment vertical="center"/>
    </x:xf>
    <x:xf numFmtId="0" fontId="1" fillId="2" borderId="24" xfId="0" applyNumberFormat="1" applyFont="1" applyFill="1" applyBorder="1" applyAlignment="1">
      <x:alignment vertical="center"/>
    </x:xf>
    <x:xf numFmtId="0" fontId="1" fillId="2" borderId="25" xfId="0" applyNumberFormat="1" applyFont="1" applyFill="1" applyBorder="1" applyAlignment="1">
      <x:alignment vertical="center"/>
    </x:xf>
    <x:xf numFmtId="200" fontId="1" fillId="2" borderId="16" xfId="0" applyNumberFormat="1" applyFont="1" applyFill="1" applyBorder="1" applyAlignment="1">
      <x:alignment vertical="center"/>
    </x:xf>
    <x:xf numFmtId="200" fontId="1" fillId="2" borderId="0" xfId="0" applyNumberFormat="1" applyFont="1" applyFill="1" applyBorder="1" applyAlignment="1">
      <x:alignment vertical="center"/>
    </x:xf>
    <x:xf numFmtId="200" fontId="1" fillId="2" borderId="21" xfId="0" applyNumberFormat="1" applyFont="1" applyFill="1" applyBorder="1" applyAlignment="1">
      <x:alignment vertical="center"/>
    </x:xf>
    <x:xf numFmtId="204" fontId="1" fillId="2" borderId="16" xfId="0" applyNumberFormat="1" applyFont="1" applyFill="1" applyBorder="1" applyAlignment="1">
      <x:alignment vertical="center"/>
    </x:xf>
    <x:xf numFmtId="204" fontId="1" fillId="2" borderId="17" xfId="0" applyNumberFormat="1" applyFont="1" applyFill="1" applyBorder="1" applyAlignment="1">
      <x:alignment vertical="center"/>
    </x:xf>
    <x:xf numFmtId="204" fontId="1" fillId="0" borderId="0" xfId="0" applyNumberFormat="1" applyFont="1" applyFill="1" applyBorder="1" applyAlignment="1">
      <x:alignment vertical="center"/>
    </x:xf>
    <x:xf numFmtId="204" fontId="1" fillId="2" borderId="0" xfId="0" applyNumberFormat="1" applyFont="1" applyFill="1" applyBorder="1" applyAlignment="1">
      <x:alignment vertical="center"/>
    </x:xf>
    <x:xf numFmtId="204" fontId="1" fillId="2" borderId="19" xfId="0" applyNumberFormat="1" applyFont="1" applyFill="1" applyBorder="1" applyAlignment="1">
      <x:alignment vertical="center"/>
    </x:xf>
    <x:xf numFmtId="204" fontId="1" fillId="2" borderId="21" xfId="0" applyNumberFormat="1" applyFont="1" applyFill="1" applyBorder="1" applyAlignment="1">
      <x:alignment vertical="center"/>
    </x:xf>
    <x:xf numFmtId="204" fontId="1" fillId="2" borderId="22" xfId="0" applyNumberFormat="1" applyFont="1" applyFill="1" applyBorder="1" applyAlignment="1">
      <x:alignment vertical="center"/>
    </x:xf>
    <x:xf numFmtId="0" fontId="1" fillId="2" borderId="16" xfId="0" applyNumberFormat="1" applyFont="1" applyFill="1" applyBorder="1" applyAlignment="1">
      <x:alignment vertical="center" wrapText="1"/>
    </x:xf>
    <x:xf numFmtId="0" fontId="1" fillId="2" borderId="17"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1" fillId="2" borderId="19" xfId="0" applyNumberFormat="1" applyFont="1" applyFill="1" applyBorder="1" applyAlignment="1">
      <x:alignment vertical="center" wrapText="1"/>
    </x:xf>
    <x:xf numFmtId="0" fontId="1" fillId="2" borderId="21" xfId="0" applyNumberFormat="1" applyFont="1" applyFill="1" applyBorder="1" applyAlignment="1">
      <x:alignment vertical="center" wrapText="1"/>
    </x:xf>
    <x:xf numFmtId="0" fontId="1" fillId="2" borderId="22" xfId="0" applyNumberFormat="1" applyFont="1" applyFill="1" applyBorder="1" applyAlignment="1">
      <x:alignment vertical="center" wrapText="1"/>
    </x:xf>
    <x:xf numFmtId="200" fontId="1" fillId="0" borderId="0" xfId="0" applyNumberFormat="1" applyFont="1" applyFill="1" applyBorder="1" applyAlignment="1">
      <x:alignment vertical="center" wrapText="1"/>
    </x:xf>
  </x:cellXfs>
  <x:cellStyles count="1">
    <x:cellStyle name="Normal" xfId="0"/>
  </x:cellStyles>
  <x:dxfs count="4">
    <x:dxf>
      <x:font>
        <x:color rgb="FF166534"/>
      </x:font>
      <x:fill>
        <x:patternFill>
          <x:bgColor rgb="FFE7F4EA"/>
        </x:patternFill>
      </x:fill>
    </x:dxf>
    <x:dxf>
      <x:font>
        <x:color rgb="FF991B1B"/>
      </x:font>
      <x:fill>
        <x:patternFill>
          <x:bgColor rgb="FFFDECEC"/>
        </x:patternFill>
      </x:fill>
    </x:dxf>
    <x:dxf>
      <x:font>
        <x:b/>
        <x:color rgb="FF991B1B"/>
      </x:font>
      <x:fill>
        <x:patternFill>
          <x:bgColor rgb="FFFDECEC"/>
        </x:patternFill>
      </x:fill>
    </x:dxf>
    <x:dxf>
      <x:font>
        <x:color rgb="FF92400E"/>
      </x:font>
      <x:fill>
        <x:patternFill>
          <x:bgColor rgb="FFFFF3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d66e5df1cb94185" /><Relationship Type="http://schemas.openxmlformats.org/officeDocument/2006/relationships/theme" Target="/xl/theme/theme1.xml" Id="R9dcaa1279b7f4773" /><Relationship Type="http://schemas.openxmlformats.org/officeDocument/2006/relationships/sharedStrings" Target="/xl/sharedStrings.xml" Id="Re7f2954a703846d0" /><Relationship Type="http://schemas.openxmlformats.org/officeDocument/2006/relationships/worksheet" Target="/xl/worksheets/sheet1.xml" Id="R6d24a5f3ed2e4125" /><Relationship Type="http://schemas.openxmlformats.org/officeDocument/2006/relationships/worksheet" Target="/xl/worksheets/sheet2.xml" Id="Rb77ce8afab8140d7" /><Relationship Type="http://schemas.openxmlformats.org/officeDocument/2006/relationships/worksheet" Target="/xl/worksheets/sheet3.xml" Id="Rcb65afba69444ae2" /><Relationship Type="http://schemas.openxmlformats.org/officeDocument/2006/relationships/worksheet" Target="/xl/worksheets/sheet4.xml" Id="Rd2c070508fee4ff5" /><Relationship Type="http://schemas.openxmlformats.org/officeDocument/2006/relationships/worksheet" Target="/xl/worksheets/sheet5.xml" Id="R612893a7efe14f92" /><Relationship Type="http://schemas.openxmlformats.org/officeDocument/2006/relationships/worksheet" Target="/xl/worksheets/sheet6.xml" Id="Ra71b484616404e24" /></Relationships>
</file>

<file path=xl/tables/table1.xml><?xml version="1.0" encoding="utf-8"?>
<x:table xmlns:x="http://schemas.openxmlformats.org/spreadsheetml/2006/main" id="1" name="VisitsTable" displayName="VisitsTable" ref="A6:M106" headerRowCount="1" totalsRowCount="0" totalsRowShown="0">
  <x:tableColumns count="13">
    <x:tableColumn id="1" name="Visit ID"/>
    <x:tableColumn id="2" name="Service date"/>
    <x:tableColumn id="3" name="Start"/>
    <x:tableColumn id="4" name="Client ID"/>
    <x:tableColumn id="5" name="Pet ID"/>
    <x:tableColumn id="6" name="Service"/>
    <x:tableColumn id="7" name="Status"/>
    <x:tableColumn id="8" name="Rate"/>
    <x:tableColumn id="9" name="Paid"/>
    <x:tableColumn id="10" name="Balance"/>
    <x:tableColumn id="11" name="Payment status"/>
    <x:tableColumn id="12" name="Follow-up"/>
    <x:tableColumn id="13" name="Minimal notes"/>
  </x:tableColumns>
  <x:tableStyleInfo name="TableStyleMedium2" showFirstColumn="0" showLastColumn="0" showRowStripes="1" showColumnStripes="0"/>
</x:table>
</file>

<file path=xl/tables/table2.xml><?xml version="1.0" encoding="utf-8"?>
<x:table xmlns:x="http://schemas.openxmlformats.org/spreadsheetml/2006/main" id="2" name="ClientsPetsTable" displayName="ClientsPetsTable" ref="A6:H106" headerRowCount="1" totalsRowCount="0" totalsRowShown="0">
  <x:tableColumns count="8">
    <x:tableColumn id="1" name="Pet ID"/>
    <x:tableColumn id="2" name="Client ID"/>
    <x:tableColumn id="3" name="Client label"/>
    <x:tableColumn id="4" name="Pet label"/>
    <x:tableColumn id="5" name="Species"/>
    <x:tableColumn id="6" name="Service preference"/>
    <x:tableColumn id="7" name="Care summary"/>
    <x:tableColumn id="8" name="Emergency plan reference"/>
  </x:tableColumns>
  <x:tableStyleInfo name="TableStyleMedium2" showFirstColumn="0" showLastColumn="0" showRowStripes="1" showColumnStripes="0"/>
</x:table>
</file>

<file path=xl/tables/table3.xml><?xml version="1.0" encoding="utf-8"?>
<x:table xmlns:x="http://schemas.openxmlformats.org/spreadsheetml/2006/main" id="3" name="ExpensesTable" displayName="ExpensesTable" ref="A6:J106" headerRowCount="1" totalsRowCount="0" totalsRowShown="0">
  <x:tableColumns count="10">
    <x:tableColumn id="1" name="Expense ID"/>
    <x:tableColumn id="2" name="Date"/>
    <x:tableColumn id="3" name="Category"/>
    <x:tableColumn id="4" name="Description"/>
    <x:tableColumn id="5" name="Amount"/>
    <x:tableColumn id="6" name="Business miles"/>
    <x:tableColumn id="7" name="Rate / mile"/>
    <x:tableColumn id="8" name="Mileage estimate"/>
    <x:tableColumn id="9" name="Receipt reference"/>
    <x:tableColumn id="10" name="Notes"/>
  </x:tableColumns>
  <x:tableStyleInfo name="TableStyleMedium2" showFirstColumn="0" showLastColumn="0" showRowStripes="1" showColumnStripes="0"/>
</x:table>
</file>

<file path=xl/tables/table4.xml><?xml version="1.0" encoding="utf-8"?>
<x:table xmlns:x="http://schemas.openxmlformats.org/spreadsheetml/2006/main" id="4" name="ServicesTable" displayName="ServicesTable" ref="A6:E26" headerRowCount="1" totalsRowCount="0" totalsRowShown="0">
  <x:tableColumns count="5">
    <x:tableColumn id="1" name="Service"/>
    <x:tableColumn id="2" name="Reference rate"/>
    <x:tableColumn id="3" name="Typical minutes"/>
    <x:tableColumn id="4" name="Active"/>
    <x:tableColumn id="5"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9c22e3824fc4a8c" /></Relationships>
</file>

<file path=xl/worksheets/_rels/sheet3.xml.rels>&#65279;<?xml version="1.0" encoding="utf-8"?><Relationships xmlns="http://schemas.openxmlformats.org/package/2006/relationships"><Relationship Type="http://schemas.openxmlformats.org/officeDocument/2006/relationships/table" Target="/xl/tables/table2.xml" Id="R7c54602333804e65" /></Relationships>
</file>

<file path=xl/worksheets/_rels/sheet4.xml.rels>&#65279;<?xml version="1.0" encoding="utf-8"?><Relationships xmlns="http://schemas.openxmlformats.org/package/2006/relationships"><Relationship Type="http://schemas.openxmlformats.org/officeDocument/2006/relationships/table" Target="/xl/tables/table3.xml" Id="R9c4f63edd23c4770" /></Relationships>
</file>

<file path=xl/worksheets/_rels/sheet5.xml.rels>&#65279;<?xml version="1.0" encoding="utf-8"?><Relationships xmlns="http://schemas.openxmlformats.org/package/2006/relationships"><Relationship Type="http://schemas.openxmlformats.org/officeDocument/2006/relationships/table" Target="/xl/tables/table4.xml" Id="R93904fc017b44bf8" /></Relationships>
</file>

<file path=xl/worksheets/sheet1.xml><?xml version="1.0" encoding="utf-8"?>
<x:worksheet xmlns:x="http://schemas.openxmlformats.org/spreadsheetml/2006/main">
  <x:sheetPr>
    <x:tabColor rgb="FF17324D"/>
  </x:sheetPr>
  <x:sheetViews>
    <x:sheetView showGridLines="0" workbookViewId="0"/>
  </x:sheetViews>
  <x:sheetFormatPr defaultRowHeight="15"/>
  <x:cols>
    <x:col min="1" max="1" width="15"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x:c r="A2" s="3" t="str">
        <x:v>Pet-Sitting Business Operations Tracker</x:v>
      </x:c>
      <x:c r="B2" s="2"/>
      <x:c r="C2" s="2"/>
      <x:c r="D2" s="2"/>
      <x:c r="E2" s="2"/>
      <x:c r="F2" s="2"/>
      <x:c r="G2" s="2"/>
      <x:c r="H2" s="2"/>
      <x:c r="I2" s="2"/>
      <x:c r="J2" s="2"/>
      <x:c r="K2" s="2"/>
      <x:c r="L2" s="2"/>
      <x:c r="M2" s="2"/>
      <x:c r="N2" s="2"/>
      <x:c r="O2" s="2"/>
      <x:c r="P2" s="2"/>
      <x:c r="Q2" s="2"/>
      <x:c r="R2" s="2"/>
      <x:c r="S2" s="2"/>
      <x:c r="T2" s="2"/>
      <x:c r="U2" s="2"/>
      <x:c r="V2" s="2"/>
      <x:c r="W2" s="2"/>
      <x:c r="X2" s="2"/>
      <x:c r="Y2" s="2"/>
      <x:c r="Z2" s="2"/>
    </x:row>
    <x:row r="3">
      <x:c r="A3" s="4"/>
      <x:c r="B3" s="4"/>
      <x:c r="C3" s="4"/>
      <x:c r="D3" s="4"/>
      <x:c r="E3" s="4"/>
      <x:c r="F3" s="4"/>
      <x:c r="G3" s="4"/>
      <x:c r="H3" s="4"/>
      <x:c r="I3" s="4"/>
      <x:c r="J3" s="4"/>
      <x:c r="K3" s="4"/>
      <x:c r="L3" s="4"/>
      <x:c r="M3" s="2"/>
      <x:c r="N3" s="2"/>
      <x:c r="O3" s="2"/>
      <x:c r="P3" s="2"/>
      <x:c r="Q3" s="2"/>
      <x:c r="R3" s="2"/>
      <x:c r="S3" s="2"/>
      <x:c r="T3" s="2"/>
      <x:c r="U3" s="2"/>
      <x:c r="V3" s="2"/>
      <x:c r="W3" s="2"/>
      <x:c r="X3" s="2"/>
      <x:c r="Y3" s="2"/>
      <x:c r="Z3" s="2"/>
    </x:row>
    <x:row r="4" ht="32" customHeight="1">
      <x:c r="A4" s="6" t="str">
        <x:v>Private local workbook • synthetic sample rows only • replace samples before real use • not accounting, tax, legal, veterinary, or emergency advice</x:v>
      </x:c>
      <x:c r="B4" s="2"/>
      <x:c r="C4" s="2"/>
      <x:c r="D4" s="2"/>
      <x:c r="E4" s="2"/>
      <x:c r="F4" s="2"/>
      <x:c r="G4" s="2"/>
      <x:c r="H4" s="2"/>
      <x:c r="I4" s="2"/>
      <x:c r="J4" s="2"/>
      <x:c r="K4" s="2"/>
      <x:c r="L4" s="2"/>
      <x:c r="M4" s="2"/>
      <x:c r="N4" s="2"/>
      <x:c r="O4" s="2"/>
      <x:c r="P4" s="2"/>
      <x:c r="Q4" s="2"/>
      <x:c r="R4" s="2"/>
      <x:c r="S4" s="2"/>
      <x:c r="T4" s="2"/>
      <x:c r="U4" s="2"/>
      <x:c r="V4" s="2"/>
      <x:c r="W4" s="2"/>
      <x:c r="X4" s="2"/>
      <x:c r="Y4" s="2"/>
      <x:c r="Z4" s="2"/>
    </x:row>
    <x:row r="5">
      <x:c r="A5" s="2"/>
      <x:c r="B5" s="2"/>
      <x:c r="C5" s="2"/>
      <x:c r="D5" s="2"/>
      <x:c r="E5" s="2"/>
      <x:c r="F5" s="2"/>
      <x:c r="G5" s="2"/>
      <x:c r="H5" s="2"/>
      <x:c r="I5" s="2"/>
      <x:c r="J5" s="2"/>
      <x:c r="K5" s="2"/>
      <x:c r="L5" s="2"/>
      <x:c r="M5" s="2"/>
      <x:c r="N5" s="2"/>
      <x:c r="O5" s="2"/>
      <x:c r="P5" s="2"/>
      <x:c r="Q5" s="2"/>
      <x:c r="R5" s="2"/>
      <x:c r="S5" s="2"/>
      <x:c r="T5" s="2"/>
      <x:c r="U5" s="2"/>
      <x:c r="V5" s="2"/>
      <x:c r="W5" s="2"/>
      <x:c r="X5" s="2"/>
      <x:c r="Y5" s="2"/>
      <x:c r="Z5" s="2"/>
    </x:row>
    <x:row r="6">
      <x:c r="A6" s="2" t="str">
        <x:v>Period start</x:v>
      </x:c>
      <x:c r="B6" s="9" t="n">
        <x:v>46266</x:v>
      </x:c>
      <x:c r="C6" s="2"/>
      <x:c r="D6" s="2" t="str">
        <x:v>Period end</x:v>
      </x:c>
      <x:c r="E6" s="9" t="n">
        <x:v>46295</x:v>
      </x:c>
      <x:c r="F6" s="2"/>
      <x:c r="G6" s="2" t="str">
        <x:v>Rate per mile</x:v>
      </x:c>
      <x:c r="H6" s="10" t="n">
        <x:v>0.7</x:v>
      </x:c>
      <x:c r="I6" s="2"/>
      <x:c r="J6" s="2" t="str">
        <x:v>Amber cells are editable inputs</x:v>
      </x:c>
      <x:c r="K6" s="2"/>
      <x:c r="L6" s="2"/>
      <x:c r="M6" s="2"/>
      <x:c r="N6" s="2"/>
      <x:c r="O6" s="2"/>
      <x:c r="P6" s="2"/>
      <x:c r="Q6" s="2"/>
      <x:c r="R6" s="2"/>
      <x:c r="S6" s="2"/>
      <x:c r="T6" s="2"/>
      <x:c r="U6" s="2"/>
      <x:c r="V6" s="2"/>
      <x:c r="W6" s="2"/>
      <x:c r="X6" s="2"/>
      <x:c r="Y6" s="2"/>
      <x:c r="Z6" s="2"/>
    </x:row>
    <x:row r="7">
      <x:c r="A7" s="2"/>
      <x:c r="B7" s="2"/>
      <x:c r="C7" s="2"/>
      <x:c r="D7" s="2"/>
      <x:c r="E7" s="2"/>
      <x:c r="F7" s="2"/>
      <x:c r="G7" s="2"/>
      <x:c r="H7" s="2"/>
      <x:c r="I7" s="2"/>
      <x:c r="J7" s="2"/>
      <x:c r="K7" s="2"/>
      <x:c r="L7" s="2"/>
      <x:c r="M7" s="2"/>
      <x:c r="N7" s="2"/>
      <x:c r="O7" s="2"/>
      <x:c r="P7" s="2"/>
      <x:c r="Q7" s="2"/>
      <x:c r="R7" s="2"/>
      <x:c r="S7" s="2"/>
      <x:c r="T7" s="2"/>
      <x:c r="U7" s="2"/>
      <x:c r="V7" s="2"/>
      <x:c r="W7" s="2"/>
      <x:c r="X7" s="2"/>
      <x:c r="Y7" s="2"/>
      <x:c r="Z7" s="2"/>
    </x:row>
    <x:row r="8">
      <x:c r="A8" s="13" t="str">
        <x:v>Booked revenue</x:v>
      </x:c>
      <x:c r="B8" s="14" t="str"/>
      <x:c r="C8" s="13" t="str">
        <x:v>Collected</x:v>
      </x:c>
      <x:c r="D8" s="14" t="str"/>
      <x:c r="E8" s="13" t="str">
        <x:v>Outstanding</x:v>
      </x:c>
      <x:c r="F8" s="14" t="str"/>
      <x:c r="G8" s="13" t="str">
        <x:v>Operating expenses</x:v>
      </x:c>
      <x:c r="H8" s="14" t="str"/>
      <x:c r="I8" s="13" t="str">
        <x:v>Mileage estimate</x:v>
      </x:c>
      <x:c r="J8" s="14" t="str"/>
      <x:c r="K8" s="13" t="str">
        <x:v>Net cash proxy</x:v>
      </x:c>
      <x:c r="L8" s="14" t="str"/>
      <x:c r="M8" s="2"/>
      <x:c r="N8" s="2"/>
      <x:c r="O8" s="2"/>
      <x:c r="P8" s="2"/>
      <x:c r="Q8" s="2"/>
      <x:c r="R8" s="2"/>
      <x:c r="S8" s="2"/>
      <x:c r="T8" s="2"/>
      <x:c r="U8" s="2"/>
      <x:c r="V8" s="2"/>
      <x:c r="W8" s="2"/>
      <x:c r="X8" s="2"/>
      <x:c r="Y8" s="2"/>
      <x:c r="Z8" s="2"/>
    </x:row>
    <x:row r="9">
      <x:c r="A9" s="18" t="n">
        <x:f>SUMIFS(Visits!$H$7:$H$106,Visits!$B$7:$B$106,"&gt;="&amp;$B$6,Visits!$B$7:$B$106,"&lt;="&amp;$E$6,Visits!$G$7:$G$106,"&lt;&gt;Cancelled")</x:f>
        <x:v>88</x:v>
      </x:c>
      <x:c r="B9" s="19"/>
      <x:c r="C9" s="19" t="n">
        <x:f>SUMIFS(Visits!$I$7:$I$106,Visits!$B$7:$B$106,"&gt;="&amp;$B$6,Visits!$B$7:$B$106,"&lt;="&amp;$E$6,Visits!$G$7:$G$106,"&lt;&gt;Cancelled")</x:f>
        <x:v>40</x:v>
      </x:c>
      <x:c r="D9" s="19"/>
      <x:c r="E9" s="19" t="n">
        <x:f>SUMIFS(Visits!$J$7:$J$106,Visits!$B$7:$B$106,"&gt;="&amp;$B$6,Visits!$B$7:$B$106,"&lt;="&amp;$E$6,Visits!$G$7:$G$106,"&lt;&gt;Cancelled")</x:f>
        <x:v>48</x:v>
      </x:c>
      <x:c r="F9" s="19"/>
      <x:c r="G9" s="19" t="n">
        <x:f>SUMIFS(Expenses!$E$7:$E$106,Expenses!$B$7:$B$106,"&gt;="&amp;$B$6,Expenses!$B$7:$B$106,"&lt;="&amp;$E$6)</x:f>
        <x:v>38.5</x:v>
      </x:c>
      <x:c r="H9" s="19"/>
      <x:c r="I9" s="19" t="n">
        <x:f>SUMIFS(Expenses!$H$7:$H$106,Expenses!$B$7:$B$106,"&gt;="&amp;$B$6,Expenses!$B$7:$B$106,"&lt;="&amp;$E$6)</x:f>
        <x:v>12.6</x:v>
      </x:c>
      <x:c r="J9" s="19"/>
      <x:c r="K9" s="19" t="n">
        <x:f>C9-G9-I9</x:f>
        <x:v>-11.1</x:v>
      </x:c>
      <x:c r="L9" s="20"/>
      <x:c r="M9" s="2"/>
      <x:c r="N9" s="2"/>
      <x:c r="O9" s="2"/>
      <x:c r="P9" s="2"/>
      <x:c r="Q9" s="2"/>
      <x:c r="R9" s="2"/>
      <x:c r="S9" s="2"/>
      <x:c r="T9" s="2"/>
      <x:c r="U9" s="2"/>
      <x:c r="V9" s="2"/>
      <x:c r="W9" s="2"/>
      <x:c r="X9" s="2"/>
      <x:c r="Y9" s="2"/>
      <x:c r="Z9" s="2"/>
    </x:row>
    <x:row r="10">
      <x:c r="A10" s="21"/>
      <x:c r="B10" s="22"/>
      <x:c r="C10" s="22"/>
      <x:c r="D10" s="22"/>
      <x:c r="E10" s="22"/>
      <x:c r="F10" s="22"/>
      <x:c r="G10" s="22"/>
      <x:c r="H10" s="22"/>
      <x:c r="I10" s="22"/>
      <x:c r="J10" s="22"/>
      <x:c r="K10" s="22"/>
      <x:c r="L10" s="23"/>
      <x:c r="M10" s="2"/>
      <x:c r="N10" s="2"/>
      <x:c r="O10" s="2"/>
      <x:c r="P10" s="2"/>
      <x:c r="Q10" s="2"/>
      <x:c r="R10" s="2"/>
      <x:c r="S10" s="2"/>
      <x:c r="T10" s="2"/>
      <x:c r="U10" s="2"/>
      <x:c r="V10" s="2"/>
      <x:c r="W10" s="2"/>
      <x:c r="X10" s="2"/>
      <x:c r="Y10" s="2"/>
      <x:c r="Z10" s="2"/>
    </x:row>
    <x:row r="11">
      <x:c r="A11" s="2"/>
      <x:c r="B11" s="2"/>
      <x:c r="C11" s="2"/>
      <x:c r="D11" s="2"/>
      <x:c r="E11" s="2"/>
      <x:c r="F11" s="2"/>
      <x:c r="G11" s="2"/>
      <x:c r="H11" s="2"/>
      <x:c r="I11" s="2"/>
      <x:c r="J11" s="2"/>
      <x:c r="K11" s="2"/>
      <x:c r="L11" s="2"/>
      <x:c r="M11" s="2"/>
      <x:c r="N11" s="2"/>
      <x:c r="O11" s="2"/>
      <x:c r="P11" s="2"/>
      <x:c r="Q11" s="2"/>
      <x:c r="R11" s="2"/>
      <x:c r="S11" s="2"/>
      <x:c r="T11" s="2"/>
      <x:c r="U11" s="2"/>
      <x:c r="V11" s="2"/>
      <x:c r="W11" s="2"/>
      <x:c r="X11" s="2"/>
      <x:c r="Y11" s="2"/>
      <x:c r="Z11" s="2"/>
    </x:row>
    <x:row r="12">
      <x:c r="A12" s="13" t="str">
        <x:v>Scheduled visits</x:v>
      </x:c>
      <x:c r="B12" s="14" t="str"/>
      <x:c r="C12" s="13" t="str">
        <x:v>Completed visits</x:v>
      </x:c>
      <x:c r="D12" s="14" t="str"/>
      <x:c r="E12" s="13" t="str">
        <x:v>Cancelled visits</x:v>
      </x:c>
      <x:c r="F12" s="14" t="str"/>
      <x:c r="G12" s="13" t="str">
        <x:v>Completion rate</x:v>
      </x:c>
      <x:c r="H12" s="14" t="str"/>
      <x:c r="I12" s="13" t="str">
        <x:v>Balances to collect</x:v>
      </x:c>
      <x:c r="J12" s="14" t="str"/>
      <x:c r="K12" s="13" t="str">
        <x:v>Open follow-ups</x:v>
      </x:c>
      <x:c r="L12" s="14" t="str"/>
      <x:c r="M12" s="2"/>
      <x:c r="N12" s="2"/>
      <x:c r="O12" s="2"/>
      <x:c r="P12" s="2"/>
      <x:c r="Q12" s="2"/>
      <x:c r="R12" s="2"/>
      <x:c r="S12" s="2"/>
      <x:c r="T12" s="2"/>
      <x:c r="U12" s="2"/>
      <x:c r="V12" s="2"/>
      <x:c r="W12" s="2"/>
      <x:c r="X12" s="2"/>
      <x:c r="Y12" s="2"/>
      <x:c r="Z12" s="2"/>
    </x:row>
    <x:row r="13">
      <x:c r="A13" s="26" t="n">
        <x:f>COUNTIFS(Visits!$B$7:$B$106,"&gt;="&amp;$B$6,Visits!$B$7:$B$106,"&lt;="&amp;$E$6,Visits!$G$7:$G$106,"Scheduled")</x:f>
        <x:v>1</x:v>
      </x:c>
      <x:c r="B13" s="27"/>
      <x:c r="C13" s="27" t="n">
        <x:f>COUNTIFS(Visits!$B$7:$B$106,"&gt;="&amp;$B$6,Visits!$B$7:$B$106,"&lt;="&amp;$E$6,Visits!$G$7:$G$106,"Completed")</x:f>
        <x:v>2</x:v>
      </x:c>
      <x:c r="D13" s="27"/>
      <x:c r="E13" s="27" t="n">
        <x:f>COUNTIFS(Visits!$B$7:$B$106,"&gt;="&amp;$B$6,Visits!$B$7:$B$106,"&lt;="&amp;$E$6,Visits!$G$7:$G$106,"Cancelled")</x:f>
        <x:v>1</x:v>
      </x:c>
      <x:c r="F13" s="27"/>
      <x:c r="G13" s="32" t="n">
        <x:f>IFERROR(C13/(A13+C13),"n.a.")</x:f>
        <x:v>0.6666666666666666</x:v>
      </x:c>
      <x:c r="H13" s="32"/>
      <x:c r="I13" s="27" t="n">
        <x:f>COUNTIFS(Visits!$B$7:$B$106,"&gt;="&amp;$B$6,Visits!$B$7:$B$106,"&lt;="&amp;$E$6,Visits!$J$7:$J$106,"&gt;0",Visits!$G$7:$G$106,"&lt;&gt;Cancelled")</x:f>
        <x:v>2</x:v>
      </x:c>
      <x:c r="J13" s="27"/>
      <x:c r="K13" s="27" t="n">
        <x:f>COUNTIFS(Visits!$B$7:$B$106,"&gt;="&amp;$B$6,Visits!$B$7:$B$106,"&lt;="&amp;$E$6,Visits!$G$7:$G$106,"Completed",Visits!$J$7:$J$106,"&gt;0")+COUNTIFS(Visits!$B$7:$B$106,"&gt;="&amp;$B$6,Visits!$B$7:$B$106,"&lt;="&amp;$E$6,Visits!$G$7:$G$106,"Scheduled",Visits!$B$7:$B$106,"&lt;"&amp;TODAY())</x:f>
        <x:v>1</x:v>
      </x:c>
      <x:c r="L13" s="28"/>
      <x:c r="M13" s="2"/>
      <x:c r="N13" s="2"/>
      <x:c r="O13" s="2"/>
      <x:c r="P13" s="2"/>
      <x:c r="Q13" s="2"/>
      <x:c r="R13" s="2"/>
      <x:c r="S13" s="2"/>
      <x:c r="T13" s="2"/>
      <x:c r="U13" s="2"/>
      <x:c r="V13" s="2"/>
      <x:c r="W13" s="2"/>
      <x:c r="X13" s="2"/>
      <x:c r="Y13" s="2"/>
      <x:c r="Z13" s="2"/>
    </x:row>
    <x:row r="14">
      <x:c r="A14" s="29"/>
      <x:c r="B14" s="30"/>
      <x:c r="C14" s="30"/>
      <x:c r="D14" s="30"/>
      <x:c r="E14" s="30"/>
      <x:c r="F14" s="30"/>
      <x:c r="G14" s="33"/>
      <x:c r="H14" s="33"/>
      <x:c r="I14" s="30"/>
      <x:c r="J14" s="30"/>
      <x:c r="K14" s="30"/>
      <x:c r="L14" s="31"/>
      <x:c r="M14" s="2"/>
      <x:c r="N14" s="2"/>
      <x:c r="O14" s="2"/>
      <x:c r="P14" s="2"/>
      <x:c r="Q14" s="2"/>
      <x:c r="R14" s="2"/>
      <x:c r="S14" s="2"/>
      <x:c r="T14" s="2"/>
      <x:c r="U14" s="2"/>
      <x:c r="V14" s="2"/>
      <x:c r="W14" s="2"/>
      <x:c r="X14" s="2"/>
      <x:c r="Y14" s="2"/>
      <x:c r="Z14" s="2"/>
    </x:row>
    <x:row r="15">
      <x:c r="A15" s="2"/>
      <x:c r="B15" s="2"/>
      <x:c r="C15" s="2"/>
      <x:c r="D15" s="2"/>
      <x:c r="E15" s="2"/>
      <x:c r="F15" s="2"/>
      <x:c r="G15" s="2"/>
      <x:c r="H15" s="2"/>
      <x:c r="I15" s="2"/>
      <x:c r="J15" s="2"/>
      <x:c r="K15" s="2"/>
      <x:c r="L15" s="2"/>
      <x:c r="M15" s="2"/>
      <x:c r="N15" s="2"/>
      <x:c r="O15" s="2"/>
      <x:c r="P15" s="2"/>
      <x:c r="Q15" s="2"/>
      <x:c r="R15" s="2"/>
      <x:c r="S15" s="2"/>
      <x:c r="T15" s="2"/>
      <x:c r="U15" s="2"/>
      <x:c r="V15" s="2"/>
      <x:c r="W15" s="2"/>
      <x:c r="X15" s="2"/>
      <x:c r="Y15" s="2"/>
      <x:c r="Z15" s="2"/>
    </x:row>
    <x:row r="16">
      <x:c r="A16" s="2"/>
      <x:c r="B16" s="2"/>
      <x:c r="C16" s="2"/>
      <x:c r="D16" s="2"/>
      <x:c r="E16" s="2"/>
      <x:c r="F16" s="2"/>
      <x:c r="G16" s="2"/>
      <x:c r="H16" s="2"/>
      <x:c r="I16" s="2"/>
      <x:c r="J16" s="2"/>
      <x:c r="K16" s="2"/>
      <x:c r="L16" s="2"/>
      <x:c r="M16" s="2"/>
      <x:c r="N16" s="2"/>
      <x:c r="O16" s="2"/>
      <x:c r="P16" s="2"/>
      <x:c r="Q16" s="2"/>
      <x:c r="R16" s="2"/>
      <x:c r="S16" s="2"/>
      <x:c r="T16" s="2"/>
      <x:c r="U16" s="2"/>
      <x:c r="V16" s="2"/>
      <x:c r="W16" s="2"/>
      <x:c r="X16" s="2"/>
      <x:c r="Y16" s="2"/>
      <x:c r="Z16" s="2"/>
    </x:row>
    <x:row r="17">
      <x:c r="A17" s="13" t="str">
        <x:v>Weekly operator rhythm</x:v>
      </x:c>
      <x:c r="B17" s="34"/>
      <x:c r="C17" s="34"/>
      <x:c r="D17" s="34"/>
      <x:c r="E17" s="34"/>
      <x:c r="F17" s="14"/>
      <x:c r="G17" s="2"/>
      <x:c r="H17" s="2"/>
      <x:c r="I17" s="2"/>
      <x:c r="J17" s="2"/>
      <x:c r="K17" s="2"/>
      <x:c r="L17" s="2"/>
      <x:c r="M17" s="2"/>
      <x:c r="N17" s="2"/>
      <x:c r="O17" s="2"/>
      <x:c r="P17" s="2"/>
      <x:c r="Q17" s="2"/>
      <x:c r="R17" s="2"/>
      <x:c r="S17" s="2"/>
      <x:c r="T17" s="2"/>
      <x:c r="U17" s="2"/>
      <x:c r="V17" s="2"/>
      <x:c r="W17" s="2"/>
      <x:c r="X17" s="2"/>
      <x:c r="Y17" s="2"/>
      <x:c r="Z17" s="2"/>
    </x:row>
    <x:row r="18" ht="30" customHeight="1">
      <x:c r="A18" s="35" t="str">
        <x:v>1</x:v>
      </x:c>
      <x:c r="B18" s="35" t="str">
        <x:v>Before the week</x:v>
      </x:c>
      <x:c r="C18" s="35" t="str">
        <x:v>Update Visits and confirm schedule, service, pet reference, and rate.</x:v>
      </x:c>
      <x:c r="D18" s="35" t="str"/>
      <x:c r="E18" s="35" t="str"/>
      <x:c r="F18" s="35" t="str"/>
      <x:c r="G18" s="2"/>
      <x:c r="H18" s="2"/>
      <x:c r="I18" s="2"/>
      <x:c r="J18" s="2"/>
      <x:c r="K18" s="2"/>
      <x:c r="L18" s="2"/>
      <x:c r="M18" s="2"/>
      <x:c r="N18" s="2"/>
      <x:c r="O18" s="2"/>
      <x:c r="P18" s="2"/>
      <x:c r="Q18" s="2"/>
      <x:c r="R18" s="2"/>
      <x:c r="S18" s="2"/>
      <x:c r="T18" s="2"/>
      <x:c r="U18" s="2"/>
      <x:c r="V18" s="2"/>
      <x:c r="W18" s="2"/>
      <x:c r="X18" s="2"/>
      <x:c r="Y18" s="2"/>
      <x:c r="Z18" s="2"/>
    </x:row>
    <x:row r="19" ht="30" customHeight="1">
      <x:c r="A19" s="35" t="str">
        <x:v>2</x:v>
      </x:c>
      <x:c r="B19" s="35" t="str">
        <x:v>After each visit</x:v>
      </x:c>
      <x:c r="C19" s="35" t="str">
        <x:v>Mark status, record paid amount, and add only the minimum useful note.</x:v>
      </x:c>
      <x:c r="D19" s="35" t="str"/>
      <x:c r="E19" s="35" t="str"/>
      <x:c r="F19" s="35" t="str"/>
      <x:c r="G19" s="2"/>
      <x:c r="H19" s="2"/>
      <x:c r="I19" s="2"/>
      <x:c r="J19" s="2"/>
      <x:c r="K19" s="2"/>
      <x:c r="L19" s="2"/>
      <x:c r="M19" s="2"/>
      <x:c r="N19" s="2"/>
      <x:c r="O19" s="2"/>
      <x:c r="P19" s="2"/>
      <x:c r="Q19" s="2"/>
      <x:c r="R19" s="2"/>
      <x:c r="S19" s="2"/>
      <x:c r="T19" s="2"/>
      <x:c r="U19" s="2"/>
      <x:c r="V19" s="2"/>
      <x:c r="W19" s="2"/>
      <x:c r="X19" s="2"/>
      <x:c r="Y19" s="2"/>
      <x:c r="Z19" s="2"/>
    </x:row>
    <x:row r="20" ht="30" customHeight="1">
      <x:c r="A20" s="35" t="str">
        <x:v>3</x:v>
      </x:c>
      <x:c r="B20" s="35" t="str">
        <x:v>Twice weekly</x:v>
      </x:c>
      <x:c r="C20" s="35" t="str">
        <x:v>Review balances and follow-ups; verify payments in the system of record.</x:v>
      </x:c>
      <x:c r="D20" s="35" t="str"/>
      <x:c r="E20" s="35" t="str"/>
      <x:c r="F20" s="35" t="str"/>
      <x:c r="G20" s="2"/>
      <x:c r="H20" s="2"/>
      <x:c r="I20" s="2"/>
      <x:c r="J20" s="2"/>
      <x:c r="K20" s="2"/>
      <x:c r="L20" s="2"/>
      <x:c r="M20" s="2"/>
      <x:c r="N20" s="2"/>
      <x:c r="O20" s="2"/>
      <x:c r="P20" s="2"/>
      <x:c r="Q20" s="2"/>
      <x:c r="R20" s="2"/>
      <x:c r="S20" s="2"/>
      <x:c r="T20" s="2"/>
      <x:c r="U20" s="2"/>
      <x:c r="V20" s="2"/>
      <x:c r="W20" s="2"/>
      <x:c r="X20" s="2"/>
      <x:c r="Y20" s="2"/>
      <x:c r="Z20" s="2"/>
    </x:row>
    <x:row r="21" ht="30" customHeight="1">
      <x:c r="A21" s="35" t="str">
        <x:v>4</x:v>
      </x:c>
      <x:c r="B21" s="35" t="str">
        <x:v>Month end</x:v>
      </x:c>
      <x:c r="C21" s="35" t="str">
        <x:v>Reconcile expenses and mileage against receipts; export only a sanitized copy.</x:v>
      </x:c>
      <x:c r="D21" s="35" t="str"/>
      <x:c r="E21" s="35" t="str"/>
      <x:c r="F21" s="35" t="str"/>
      <x:c r="G21" s="2"/>
      <x:c r="H21" s="2"/>
      <x:c r="I21" s="2"/>
      <x:c r="J21" s="2"/>
      <x:c r="K21" s="2"/>
      <x:c r="L21" s="2"/>
      <x:c r="M21" s="2"/>
      <x:c r="N21" s="2"/>
      <x:c r="O21" s="2"/>
      <x:c r="P21" s="2"/>
      <x:c r="Q21" s="2"/>
      <x:c r="R21" s="2"/>
      <x:c r="S21" s="2"/>
      <x:c r="T21" s="2"/>
      <x:c r="U21" s="2"/>
      <x:c r="V21" s="2"/>
      <x:c r="W21" s="2"/>
      <x:c r="X21" s="2"/>
      <x:c r="Y21" s="2"/>
      <x:c r="Z21" s="2"/>
    </x:row>
    <x:row r="22">
      <x:c r="A22" s="2"/>
      <x:c r="B22" s="2"/>
      <x:c r="C22" s="2"/>
      <x:c r="D22" s="2"/>
      <x:c r="E22" s="2"/>
      <x:c r="F22" s="2"/>
      <x:c r="G22" s="2"/>
      <x:c r="H22" s="2"/>
      <x:c r="I22" s="2"/>
      <x:c r="J22" s="2"/>
      <x:c r="K22" s="2"/>
      <x:c r="L22" s="2"/>
      <x:c r="M22" s="2"/>
      <x:c r="N22" s="2"/>
      <x:c r="O22" s="2"/>
      <x:c r="P22" s="2"/>
      <x:c r="Q22" s="2"/>
      <x:c r="R22" s="2"/>
      <x:c r="S22" s="2"/>
      <x:c r="T22" s="2"/>
      <x:c r="U22" s="2"/>
      <x:c r="V22" s="2"/>
      <x:c r="W22" s="2"/>
      <x:c r="X22" s="2"/>
      <x:c r="Y22" s="2"/>
      <x:c r="Z22" s="2"/>
    </x:row>
    <x:row r="23">
      <x:c r="A23" s="38" t="str">
        <x:v>Privacy boundary: do not store door codes, alarm codes, full addresses, financial account numbers, veterinary records, or emergency secrets here. Keep authoritative sensitive records in an approved system and reference them only by non-secret identifier.</x:v>
      </x:c>
      <x:c r="B23" s="38"/>
      <x:c r="C23" s="38"/>
      <x:c r="D23" s="38"/>
      <x:c r="E23" s="38"/>
      <x:c r="F23" s="38"/>
      <x:c r="G23" s="38"/>
      <x:c r="H23" s="38"/>
      <x:c r="I23" s="38"/>
      <x:c r="J23" s="38"/>
      <x:c r="K23" s="38"/>
      <x:c r="L23" s="38"/>
      <x:c r="M23" s="2"/>
      <x:c r="N23" s="2"/>
      <x:c r="O23" s="2"/>
      <x:c r="P23" s="2"/>
      <x:c r="Q23" s="2"/>
      <x:c r="R23" s="2"/>
      <x:c r="S23" s="2"/>
      <x:c r="T23" s="2"/>
      <x:c r="U23" s="2"/>
      <x:c r="V23" s="2"/>
      <x:c r="W23" s="2"/>
      <x:c r="X23" s="2"/>
      <x:c r="Y23" s="2"/>
      <x:c r="Z23" s="2"/>
    </x:row>
    <x:row r="24">
      <x:c r="A24" s="38"/>
      <x:c r="B24" s="38"/>
      <x:c r="C24" s="38"/>
      <x:c r="D24" s="38"/>
      <x:c r="E24" s="38"/>
      <x:c r="F24" s="38"/>
      <x:c r="G24" s="38"/>
      <x:c r="H24" s="38"/>
      <x:c r="I24" s="38"/>
      <x:c r="J24" s="38"/>
      <x:c r="K24" s="38"/>
      <x:c r="L24" s="38"/>
      <x:c r="M24" s="2"/>
      <x:c r="N24" s="2"/>
      <x:c r="O24" s="2"/>
      <x:c r="P24" s="2"/>
      <x:c r="Q24" s="2"/>
      <x:c r="R24" s="2"/>
      <x:c r="S24" s="2"/>
      <x:c r="T24" s="2"/>
      <x:c r="U24" s="2"/>
      <x:c r="V24" s="2"/>
      <x:c r="W24" s="2"/>
      <x:c r="X24" s="2"/>
      <x:c r="Y24" s="2"/>
      <x:c r="Z24" s="2"/>
    </x:row>
    <x:row r="25">
      <x:c r="A25" s="2"/>
      <x:c r="B25" s="2"/>
      <x:c r="C25" s="2"/>
      <x:c r="D25" s="2"/>
      <x:c r="E25" s="2"/>
      <x:c r="F25" s="2"/>
      <x:c r="G25" s="2"/>
      <x:c r="H25" s="2"/>
      <x:c r="I25" s="2"/>
      <x:c r="J25" s="2"/>
      <x:c r="K25" s="2"/>
      <x:c r="L25" s="2"/>
      <x:c r="M25" s="2"/>
      <x:c r="N25" s="2"/>
      <x:c r="O25" s="2"/>
      <x:c r="P25" s="2"/>
      <x:c r="Q25" s="2"/>
      <x:c r="R25" s="2"/>
      <x:c r="S25" s="2"/>
      <x:c r="T25" s="2"/>
      <x:c r="U25" s="2"/>
      <x:c r="V25" s="2"/>
      <x:c r="W25" s="2"/>
      <x:c r="X25" s="2"/>
      <x:c r="Y25" s="2"/>
      <x:c r="Z25" s="2"/>
    </x:row>
    <x:row r="26">
      <x:c r="A26" s="2"/>
      <x:c r="B26" s="2"/>
      <x:c r="C26" s="2"/>
      <x:c r="D26" s="2"/>
      <x:c r="E26" s="2"/>
      <x:c r="F26" s="2"/>
      <x:c r="G26" s="2"/>
      <x:c r="H26" s="2"/>
      <x:c r="I26" s="2"/>
      <x:c r="J26" s="2"/>
      <x:c r="K26" s="2"/>
      <x:c r="L26" s="2"/>
      <x:c r="M26" s="2"/>
      <x:c r="N26" s="2"/>
      <x:c r="O26" s="2"/>
      <x:c r="P26" s="2"/>
      <x:c r="Q26" s="2"/>
      <x:c r="R26" s="2"/>
      <x:c r="S26" s="2"/>
      <x:c r="T26" s="2"/>
      <x:c r="U26" s="2"/>
      <x:c r="V26" s="2"/>
      <x:c r="W26" s="2"/>
      <x:c r="X26" s="2"/>
      <x:c r="Y26" s="2"/>
      <x:c r="Z26" s="2"/>
    </x:row>
    <x:row r="27">
      <x:c r="A27" s="2"/>
      <x:c r="B27" s="2"/>
      <x:c r="C27" s="2"/>
      <x:c r="D27" s="2"/>
      <x:c r="E27" s="2"/>
      <x:c r="F27" s="2"/>
      <x:c r="G27" s="2"/>
      <x:c r="H27" s="2"/>
      <x:c r="I27" s="2"/>
      <x:c r="J27" s="2"/>
      <x:c r="K27" s="2"/>
      <x:c r="L27" s="2"/>
      <x:c r="M27" s="2"/>
      <x:c r="N27" s="2"/>
      <x:c r="O27" s="2"/>
      <x:c r="P27" s="2"/>
      <x:c r="Q27" s="2"/>
      <x:c r="R27" s="2"/>
      <x:c r="S27" s="2"/>
      <x:c r="T27" s="2"/>
      <x:c r="U27" s="2"/>
      <x:c r="V27" s="2"/>
      <x:c r="W27" s="2"/>
      <x:c r="X27" s="2"/>
      <x:c r="Y27" s="2"/>
      <x:c r="Z27" s="2"/>
    </x:row>
    <x:row r="28">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row>
    <x:row r="29">
      <x:c r="A29" s="2"/>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sheetData>
  <x:mergeCells>
    <x:mergeCell ref="A2:L2"/>
    <x:mergeCell ref="A4:L4"/>
    <x:mergeCell ref="J6:L6"/>
    <x:mergeCell ref="A9:B10"/>
    <x:mergeCell ref="C9:D10"/>
    <x:mergeCell ref="E9:F10"/>
    <x:mergeCell ref="G9:H10"/>
    <x:mergeCell ref="I9:J10"/>
    <x:mergeCell ref="K9:L10"/>
    <x:mergeCell ref="A13:B14"/>
    <x:mergeCell ref="C13:D14"/>
    <x:mergeCell ref="E13:F14"/>
    <x:mergeCell ref="G13:H14"/>
    <x:mergeCell ref="I13:J14"/>
    <x:mergeCell ref="K13:L14"/>
    <x:mergeCell ref="A17:F17"/>
    <x:mergeCell ref="C18:F18"/>
    <x:mergeCell ref="C19:F19"/>
    <x:mergeCell ref="C20:F20"/>
    <x:mergeCell ref="C21:F21"/>
    <x:mergeCell ref="A23:L24"/>
  </x:mergeCells>
  <x:pageMargins left="0.7" right="0.7" top="0.75" bottom="0.75" header="0.3" footer="0.3"/>
</x:worksheet>
</file>

<file path=xl/worksheets/sheet2.xml><?xml version="1.0" encoding="utf-8"?>
<x:worksheet xmlns:x="http://schemas.openxmlformats.org/spreadsheetml/2006/main">
  <x:sheetPr>
    <x:tabColor rgb="FF2E6F95"/>
  </x:sheetPr>
  <x:sheetViews>
    <x:sheetView showGridLines="0" workbookViewId="0">
      <x:pane ySplit="6" topLeftCell="A7" activePane="bottomLeft" state="frozen"/>
    </x:sheetView>
  </x:sheetViews>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9" hidden="0" customWidth="1"/>
    <x:col min="7" max="7" width="14" hidden="0" customWidth="1"/>
    <x:col min="8" max="8" width="14" hidden="0" customWidth="1"/>
    <x:col min="9" max="9" width="14" hidden="0" customWidth="1"/>
    <x:col min="10" max="10" width="14" hidden="0" customWidth="1"/>
    <x:col min="11" max="11" width="14" hidden="0" customWidth="1"/>
    <x:col min="12" max="12" width="23" hidden="0" customWidth="1"/>
    <x:col min="13" max="13" width="23"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x:c r="A2" s="3" t="str">
        <x:v>Visits</x:v>
      </x:c>
      <x:c r="B2" s="2"/>
      <x:c r="C2" s="2"/>
      <x:c r="D2" s="2"/>
      <x:c r="E2" s="2"/>
      <x:c r="F2" s="2"/>
      <x:c r="G2" s="2"/>
      <x:c r="H2" s="2"/>
      <x:c r="I2" s="2"/>
      <x:c r="J2" s="2"/>
      <x:c r="K2" s="2"/>
      <x:c r="L2" s="2"/>
      <x:c r="M2" s="2"/>
      <x:c r="N2" s="2"/>
      <x:c r="O2" s="2"/>
      <x:c r="P2" s="2"/>
      <x:c r="Q2" s="2"/>
      <x:c r="R2" s="2"/>
      <x:c r="S2" s="2"/>
      <x:c r="T2" s="2"/>
      <x:c r="U2" s="2"/>
      <x:c r="V2" s="2"/>
      <x:c r="W2" s="2"/>
      <x:c r="X2" s="2"/>
      <x:c r="Y2" s="2"/>
      <x:c r="Z2" s="2"/>
    </x:row>
    <x:row r="3">
      <x:c r="A3" s="4"/>
      <x:c r="B3" s="4"/>
      <x:c r="C3" s="4"/>
      <x:c r="D3" s="4"/>
      <x:c r="E3" s="4"/>
      <x:c r="F3" s="4"/>
      <x:c r="G3" s="4"/>
      <x:c r="H3" s="4"/>
      <x:c r="I3" s="4"/>
      <x:c r="J3" s="4"/>
      <x:c r="K3" s="4"/>
      <x:c r="L3" s="4"/>
      <x:c r="M3" s="4"/>
      <x:c r="N3" s="2"/>
      <x:c r="O3" s="2"/>
      <x:c r="P3" s="2"/>
      <x:c r="Q3" s="2"/>
      <x:c r="R3" s="2"/>
      <x:c r="S3" s="2"/>
      <x:c r="T3" s="2"/>
      <x:c r="U3" s="2"/>
      <x:c r="V3" s="2"/>
      <x:c r="W3" s="2"/>
      <x:c r="X3" s="2"/>
      <x:c r="Y3" s="2"/>
      <x:c r="Z3" s="2"/>
    </x:row>
    <x:row r="4" ht="32" customHeight="1">
      <x:c r="A4" s="6" t="str">
        <x:v>Enter one row per service event. Formula columns calculate balance, payment status, and review cues.</x:v>
      </x:c>
      <x:c r="B4" s="2"/>
      <x:c r="C4" s="2"/>
      <x:c r="D4" s="2"/>
      <x:c r="E4" s="2"/>
      <x:c r="F4" s="2"/>
      <x:c r="G4" s="2"/>
      <x:c r="H4" s="2"/>
      <x:c r="I4" s="2"/>
      <x:c r="J4" s="2"/>
      <x:c r="K4" s="2"/>
      <x:c r="L4" s="2"/>
      <x:c r="M4" s="2"/>
      <x:c r="N4" s="2"/>
      <x:c r="O4" s="2"/>
      <x:c r="P4" s="2"/>
      <x:c r="Q4" s="2"/>
      <x:c r="R4" s="2"/>
      <x:c r="S4" s="2"/>
      <x:c r="T4" s="2"/>
      <x:c r="U4" s="2"/>
      <x:c r="V4" s="2"/>
      <x:c r="W4" s="2"/>
      <x:c r="X4" s="2"/>
      <x:c r="Y4" s="2"/>
      <x:c r="Z4" s="2"/>
    </x:row>
    <x:row r="5">
      <x:c r="A5" s="2"/>
      <x:c r="B5" s="2"/>
      <x:c r="C5" s="2"/>
      <x:c r="D5" s="2"/>
      <x:c r="E5" s="2"/>
      <x:c r="F5" s="2"/>
      <x:c r="G5" s="2"/>
      <x:c r="H5" s="2"/>
      <x:c r="I5" s="2"/>
      <x:c r="J5" s="2"/>
      <x:c r="K5" s="2"/>
      <x:c r="L5" s="2"/>
      <x:c r="M5" s="2"/>
      <x:c r="N5" s="2"/>
      <x:c r="O5" s="2"/>
      <x:c r="P5" s="2"/>
      <x:c r="Q5" s="2"/>
      <x:c r="R5" s="2"/>
      <x:c r="S5" s="2"/>
      <x:c r="T5" s="2"/>
      <x:c r="U5" s="2"/>
      <x:c r="V5" s="2"/>
      <x:c r="W5" s="2"/>
      <x:c r="X5" s="2"/>
      <x:c r="Y5" s="2"/>
      <x:c r="Z5" s="2"/>
    </x:row>
    <x:row r="6" ht="30" customHeight="1">
      <x:c r="A6" s="43" t="str">
        <x:v>Visit ID</x:v>
      </x:c>
      <x:c r="B6" s="44" t="str">
        <x:v>Service date</x:v>
      </x:c>
      <x:c r="C6" s="44" t="str">
        <x:v>Start</x:v>
      </x:c>
      <x:c r="D6" s="44" t="str">
        <x:v>Client ID</x:v>
      </x:c>
      <x:c r="E6" s="44" t="str">
        <x:v>Pet ID</x:v>
      </x:c>
      <x:c r="F6" s="44" t="str">
        <x:v>Service</x:v>
      </x:c>
      <x:c r="G6" s="44" t="str">
        <x:v>Status</x:v>
      </x:c>
      <x:c r="H6" s="44" t="str">
        <x:v>Rate</x:v>
      </x:c>
      <x:c r="I6" s="44" t="str">
        <x:v>Paid</x:v>
      </x:c>
      <x:c r="J6" s="44" t="str">
        <x:v>Balance</x:v>
      </x:c>
      <x:c r="K6" s="44" t="str">
        <x:v>Payment status</x:v>
      </x:c>
      <x:c r="L6" s="44" t="str">
        <x:v>Follow-up</x:v>
      </x:c>
      <x:c r="M6" s="45" t="str">
        <x:v>Minimal notes</x:v>
      </x:c>
      <x:c r="N6" s="2"/>
      <x:c r="O6" s="2"/>
      <x:c r="P6" s="2"/>
      <x:c r="Q6" s="2"/>
      <x:c r="R6" s="2"/>
      <x:c r="S6" s="2"/>
      <x:c r="T6" s="2"/>
      <x:c r="U6" s="2"/>
      <x:c r="V6" s="2"/>
      <x:c r="W6" s="2"/>
      <x:c r="X6" s="2"/>
      <x:c r="Y6" s="2"/>
      <x:c r="Z6" s="2"/>
    </x:row>
    <x:row r="7">
      <x:c r="A7" s="46" t="str">
        <x:v>SAMPLE-V001</x:v>
      </x:c>
      <x:c r="B7" s="57" t="n">
        <x:v>46268</x:v>
      </x:c>
      <x:c r="C7" s="47" t="str">
        <x:v>09:00</x:v>
      </x:c>
      <x:c r="D7" s="47" t="str">
        <x:v>SAMPLE-C001</x:v>
      </x:c>
      <x:c r="E7" s="47" t="str">
        <x:v>SAMPLE-P001</x:v>
      </x:c>
      <x:c r="F7" s="47" t="str">
        <x:v>30-min dog walk</x:v>
      </x:c>
      <x:c r="G7" s="47" t="str">
        <x:v>Completed</x:v>
      </x:c>
      <x:c r="H7" s="60" t="n">
        <x:v>28</x:v>
      </x:c>
      <x:c r="I7" s="61" t="n">
        <x:v>28</x:v>
      </x:c>
      <x:c r="J7" s="62" t="n">
        <x:f>IF(A7="","",IF(G7="Cancelled",0,MAX(0,H7-I7)))</x:f>
        <x:v>0</x:v>
      </x:c>
      <x:c r="K7" s="2" t="str">
        <x:f>IF(A7="","",IF(G7="Cancelled","No charge",IF(J7=0,"Paid",IF(I7&gt;0,"Partial","Unpaid"))))</x:f>
        <x:v>Paid</x:v>
      </x:c>
      <x:c r="L7" s="2" t="str">
        <x:f>IF(A7="","",IF(AND(G7="Completed",J7&gt;0),"Collect balance",IF(AND(G7="Scheduled",B7&lt;TODAY()),"Review overdue visit","")))</x:f>
      </x:c>
      <x:c r="M7" s="54" t="str">
        <x:v>SAMPLE — routine complete</x:v>
      </x:c>
      <x:c r="N7" s="2"/>
      <x:c r="O7" s="2"/>
      <x:c r="P7" s="2"/>
      <x:c r="Q7" s="2"/>
      <x:c r="R7" s="2"/>
      <x:c r="S7" s="2"/>
      <x:c r="T7" s="2"/>
      <x:c r="U7" s="2"/>
      <x:c r="V7" s="2"/>
      <x:c r="W7" s="2"/>
      <x:c r="X7" s="2"/>
      <x:c r="Y7" s="2"/>
      <x:c r="Z7" s="2"/>
    </x:row>
    <x:row r="8">
      <x:c r="A8" s="49" t="str">
        <x:v>SAMPLE-V002</x:v>
      </x:c>
      <x:c r="B8" s="58" t="n">
        <x:v>46270</x:v>
      </x:c>
      <x:c r="C8" s="7" t="str">
        <x:v>18:00</x:v>
      </x:c>
      <x:c r="D8" s="7" t="str">
        <x:v>SAMPLE-C002</x:v>
      </x:c>
      <x:c r="E8" s="7" t="str">
        <x:v>SAMPLE-P002</x:v>
      </x:c>
      <x:c r="F8" s="7" t="str">
        <x:v>Drop-in visit</x:v>
      </x:c>
      <x:c r="G8" s="7" t="str">
        <x:v>Completed</x:v>
      </x:c>
      <x:c r="H8" s="63" t="n">
        <x:v>32</x:v>
      </x:c>
      <x:c r="I8" s="64" t="n">
        <x:v>12</x:v>
      </x:c>
      <x:c r="J8" s="62" t="n">
        <x:f>IF(A8="","",IF(G8="Cancelled",0,MAX(0,H8-I8)))</x:f>
        <x:v>20</x:v>
      </x:c>
      <x:c r="K8" s="2" t="str">
        <x:f>IF(A8="","",IF(G8="Cancelled","No charge",IF(J8=0,"Paid",IF(I8&gt;0,"Partial","Unpaid"))))</x:f>
        <x:v>Partial</x:v>
      </x:c>
      <x:c r="L8" s="2" t="str">
        <x:f>IF(A8="","",IF(AND(G8="Completed",J8&gt;0),"Collect balance",IF(AND(G8="Scheduled",B8&lt;TODAY()),"Review overdue visit","")))</x:f>
        <x:v>Collect balance</x:v>
      </x:c>
      <x:c r="M8" s="55" t="str">
        <x:v>SAMPLE — confirm remaining balance</x:v>
      </x:c>
      <x:c r="N8" s="2"/>
      <x:c r="O8" s="2"/>
      <x:c r="P8" s="2"/>
      <x:c r="Q8" s="2"/>
      <x:c r="R8" s="2"/>
      <x:c r="S8" s="2"/>
      <x:c r="T8" s="2"/>
      <x:c r="U8" s="2"/>
      <x:c r="V8" s="2"/>
      <x:c r="W8" s="2"/>
      <x:c r="X8" s="2"/>
      <x:c r="Y8" s="2"/>
      <x:c r="Z8" s="2"/>
    </x:row>
    <x:row r="9">
      <x:c r="A9" s="49" t="str">
        <x:v>SAMPLE-V003</x:v>
      </x:c>
      <x:c r="B9" s="58" t="n">
        <x:v>46277</x:v>
      </x:c>
      <x:c r="C9" s="7" t="str">
        <x:v>08:30</x:v>
      </x:c>
      <x:c r="D9" s="7" t="str">
        <x:v>SAMPLE-C001</x:v>
      </x:c>
      <x:c r="E9" s="7" t="str">
        <x:v>SAMPLE-P001</x:v>
      </x:c>
      <x:c r="F9" s="7" t="str">
        <x:v>30-min dog walk</x:v>
      </x:c>
      <x:c r="G9" s="7" t="str">
        <x:v>Scheduled</x:v>
      </x:c>
      <x:c r="H9" s="63" t="n">
        <x:v>28</x:v>
      </x:c>
      <x:c r="I9" s="64" t="n">
        <x:v>0</x:v>
      </x:c>
      <x:c r="J9" s="62" t="n">
        <x:f>IF(A9="","",IF(G9="Cancelled",0,MAX(0,H9-I9)))</x:f>
        <x:v>28</x:v>
      </x:c>
      <x:c r="K9" s="2" t="str">
        <x:f>IF(A9="","",IF(G9="Cancelled","No charge",IF(J9=0,"Paid",IF(I9&gt;0,"Partial","Unpaid"))))</x:f>
        <x:v>Unpaid</x:v>
      </x:c>
      <x:c r="L9" s="2" t="str">
        <x:f>IF(A9="","",IF(AND(G9="Completed",J9&gt;0),"Collect balance",IF(AND(G9="Scheduled",B9&lt;TODAY()),"Review overdue visit","")))</x:f>
      </x:c>
      <x:c r="M9" s="55" t="str">
        <x:v>SAMPLE — confirm time</x:v>
      </x:c>
      <x:c r="N9" s="2"/>
      <x:c r="O9" s="2"/>
      <x:c r="P9" s="2"/>
      <x:c r="Q9" s="2"/>
      <x:c r="R9" s="2"/>
      <x:c r="S9" s="2"/>
      <x:c r="T9" s="2"/>
      <x:c r="U9" s="2"/>
      <x:c r="V9" s="2"/>
      <x:c r="W9" s="2"/>
      <x:c r="X9" s="2"/>
      <x:c r="Y9" s="2"/>
      <x:c r="Z9" s="2"/>
    </x:row>
    <x:row r="10">
      <x:c r="A10" s="49" t="str">
        <x:v>SAMPLE-V004</x:v>
      </x:c>
      <x:c r="B10" s="58" t="n">
        <x:v>46280</x:v>
      </x:c>
      <x:c r="C10" s="7" t="str">
        <x:v>17:30</x:v>
      </x:c>
      <x:c r="D10" s="7" t="str">
        <x:v>SAMPLE-C003</x:v>
      </x:c>
      <x:c r="E10" s="7" t="str">
        <x:v>SAMPLE-P003</x:v>
      </x:c>
      <x:c r="F10" s="7" t="str">
        <x:v>60-min dog walk</x:v>
      </x:c>
      <x:c r="G10" s="7" t="str">
        <x:v>Cancelled</x:v>
      </x:c>
      <x:c r="H10" s="63" t="n">
        <x:v>45</x:v>
      </x:c>
      <x:c r="I10" s="64" t="n">
        <x:v>0</x:v>
      </x:c>
      <x:c r="J10" s="62" t="n">
        <x:f>IF(A10="","",IF(G10="Cancelled",0,MAX(0,H10-I10)))</x:f>
        <x:v>0</x:v>
      </x:c>
      <x:c r="K10" s="2" t="str">
        <x:f>IF(A10="","",IF(G10="Cancelled","No charge",IF(J10=0,"Paid",IF(I10&gt;0,"Partial","Unpaid"))))</x:f>
        <x:v>No charge</x:v>
      </x:c>
      <x:c r="L10" s="2" t="str">
        <x:f>IF(A10="","",IF(AND(G10="Completed",J10&gt;0),"Collect balance",IF(AND(G10="Scheduled",B10&lt;TODAY()),"Review overdue visit","")))</x:f>
      </x:c>
      <x:c r="M10" s="55" t="str">
        <x:v>SAMPLE — no charge</x:v>
      </x:c>
      <x:c r="N10" s="2"/>
      <x:c r="O10" s="2"/>
      <x:c r="P10" s="2"/>
      <x:c r="Q10" s="2"/>
      <x:c r="R10" s="2"/>
      <x:c r="S10" s="2"/>
      <x:c r="T10" s="2"/>
      <x:c r="U10" s="2"/>
      <x:c r="V10" s="2"/>
      <x:c r="W10" s="2"/>
      <x:c r="X10" s="2"/>
      <x:c r="Y10" s="2"/>
      <x:c r="Z10" s="2"/>
    </x:row>
    <x:row r="11">
      <x:c r="A11" s="49"/>
      <x:c r="B11" s="58"/>
      <x:c r="C11" s="7"/>
      <x:c r="D11" s="7"/>
      <x:c r="E11" s="7"/>
      <x:c r="F11" s="7"/>
      <x:c r="G11" s="7"/>
      <x:c r="H11" s="63"/>
      <x:c r="I11" s="64"/>
      <x:c r="J11" s="62" t="str">
        <x:f>IF(A11="","",IF(G11="Cancelled",0,MAX(0,H11-I11)))</x:f>
      </x:c>
      <x:c r="K11" s="2" t="str">
        <x:f>IF(A11="","",IF(G11="Cancelled","No charge",IF(J11=0,"Paid",IF(I11&gt;0,"Partial","Unpaid"))))</x:f>
      </x:c>
      <x:c r="L11" s="2" t="str">
        <x:f>IF(A11="","",IF(AND(G11="Completed",J11&gt;0),"Collect balance",IF(AND(G11="Scheduled",B11&lt;TODAY()),"Review overdue visit","")))</x:f>
      </x:c>
      <x:c r="M11" s="55"/>
      <x:c r="N11" s="2"/>
      <x:c r="O11" s="2"/>
      <x:c r="P11" s="2"/>
      <x:c r="Q11" s="2"/>
      <x:c r="R11" s="2"/>
      <x:c r="S11" s="2"/>
      <x:c r="T11" s="2"/>
      <x:c r="U11" s="2"/>
      <x:c r="V11" s="2"/>
      <x:c r="W11" s="2"/>
      <x:c r="X11" s="2"/>
      <x:c r="Y11" s="2"/>
      <x:c r="Z11" s="2"/>
    </x:row>
    <x:row r="12">
      <x:c r="A12" s="49"/>
      <x:c r="B12" s="58"/>
      <x:c r="C12" s="7"/>
      <x:c r="D12" s="7"/>
      <x:c r="E12" s="7"/>
      <x:c r="F12" s="7"/>
      <x:c r="G12" s="7"/>
      <x:c r="H12" s="63"/>
      <x:c r="I12" s="64"/>
      <x:c r="J12" s="62" t="str">
        <x:f>IF(A12="","",IF(G12="Cancelled",0,MAX(0,H12-I12)))</x:f>
      </x:c>
      <x:c r="K12" s="2" t="str">
        <x:f>IF(A12="","",IF(G12="Cancelled","No charge",IF(J12=0,"Paid",IF(I12&gt;0,"Partial","Unpaid"))))</x:f>
      </x:c>
      <x:c r="L12" s="2" t="str">
        <x:f>IF(A12="","",IF(AND(G12="Completed",J12&gt;0),"Collect balance",IF(AND(G12="Scheduled",B12&lt;TODAY()),"Review overdue visit","")))</x:f>
      </x:c>
      <x:c r="M12" s="55"/>
      <x:c r="N12" s="2"/>
      <x:c r="O12" s="2"/>
      <x:c r="P12" s="2"/>
      <x:c r="Q12" s="2"/>
      <x:c r="R12" s="2"/>
      <x:c r="S12" s="2"/>
      <x:c r="T12" s="2"/>
      <x:c r="U12" s="2"/>
      <x:c r="V12" s="2"/>
      <x:c r="W12" s="2"/>
      <x:c r="X12" s="2"/>
      <x:c r="Y12" s="2"/>
      <x:c r="Z12" s="2"/>
    </x:row>
    <x:row r="13">
      <x:c r="A13" s="49"/>
      <x:c r="B13" s="58"/>
      <x:c r="C13" s="7"/>
      <x:c r="D13" s="7"/>
      <x:c r="E13" s="7"/>
      <x:c r="F13" s="7"/>
      <x:c r="G13" s="7"/>
      <x:c r="H13" s="63"/>
      <x:c r="I13" s="64"/>
      <x:c r="J13" s="62" t="str">
        <x:f>IF(A13="","",IF(G13="Cancelled",0,MAX(0,H13-I13)))</x:f>
      </x:c>
      <x:c r="K13" s="2" t="str">
        <x:f>IF(A13="","",IF(G13="Cancelled","No charge",IF(J13=0,"Paid",IF(I13&gt;0,"Partial","Unpaid"))))</x:f>
      </x:c>
      <x:c r="L13" s="2" t="str">
        <x:f>IF(A13="","",IF(AND(G13="Completed",J13&gt;0),"Collect balance",IF(AND(G13="Scheduled",B13&lt;TODAY()),"Review overdue visit","")))</x:f>
      </x:c>
      <x:c r="M13" s="55"/>
      <x:c r="N13" s="2"/>
      <x:c r="O13" s="2"/>
      <x:c r="P13" s="2"/>
      <x:c r="Q13" s="2"/>
      <x:c r="R13" s="2"/>
      <x:c r="S13" s="2"/>
      <x:c r="T13" s="2"/>
      <x:c r="U13" s="2"/>
      <x:c r="V13" s="2"/>
      <x:c r="W13" s="2"/>
      <x:c r="X13" s="2"/>
      <x:c r="Y13" s="2"/>
      <x:c r="Z13" s="2"/>
    </x:row>
    <x:row r="14">
      <x:c r="A14" s="49"/>
      <x:c r="B14" s="58"/>
      <x:c r="C14" s="7"/>
      <x:c r="D14" s="7"/>
      <x:c r="E14" s="7"/>
      <x:c r="F14" s="7"/>
      <x:c r="G14" s="7"/>
      <x:c r="H14" s="63"/>
      <x:c r="I14" s="64"/>
      <x:c r="J14" s="62" t="str">
        <x:f>IF(A14="","",IF(G14="Cancelled",0,MAX(0,H14-I14)))</x:f>
      </x:c>
      <x:c r="K14" s="2" t="str">
        <x:f>IF(A14="","",IF(G14="Cancelled","No charge",IF(J14=0,"Paid",IF(I14&gt;0,"Partial","Unpaid"))))</x:f>
      </x:c>
      <x:c r="L14" s="2" t="str">
        <x:f>IF(A14="","",IF(AND(G14="Completed",J14&gt;0),"Collect balance",IF(AND(G14="Scheduled",B14&lt;TODAY()),"Review overdue visit","")))</x:f>
      </x:c>
      <x:c r="M14" s="55"/>
      <x:c r="N14" s="2"/>
      <x:c r="O14" s="2"/>
      <x:c r="P14" s="2"/>
      <x:c r="Q14" s="2"/>
      <x:c r="R14" s="2"/>
      <x:c r="S14" s="2"/>
      <x:c r="T14" s="2"/>
      <x:c r="U14" s="2"/>
      <x:c r="V14" s="2"/>
      <x:c r="W14" s="2"/>
      <x:c r="X14" s="2"/>
      <x:c r="Y14" s="2"/>
      <x:c r="Z14" s="2"/>
    </x:row>
    <x:row r="15">
      <x:c r="A15" s="49"/>
      <x:c r="B15" s="58"/>
      <x:c r="C15" s="7"/>
      <x:c r="D15" s="7"/>
      <x:c r="E15" s="7"/>
      <x:c r="F15" s="7"/>
      <x:c r="G15" s="7"/>
      <x:c r="H15" s="63"/>
      <x:c r="I15" s="64"/>
      <x:c r="J15" s="62" t="str">
        <x:f>IF(A15="","",IF(G15="Cancelled",0,MAX(0,H15-I15)))</x:f>
      </x:c>
      <x:c r="K15" s="2" t="str">
        <x:f>IF(A15="","",IF(G15="Cancelled","No charge",IF(J15=0,"Paid",IF(I15&gt;0,"Partial","Unpaid"))))</x:f>
      </x:c>
      <x:c r="L15" s="2" t="str">
        <x:f>IF(A15="","",IF(AND(G15="Completed",J15&gt;0),"Collect balance",IF(AND(G15="Scheduled",B15&lt;TODAY()),"Review overdue visit","")))</x:f>
      </x:c>
      <x:c r="M15" s="55"/>
      <x:c r="N15" s="2"/>
      <x:c r="O15" s="2"/>
      <x:c r="P15" s="2"/>
      <x:c r="Q15" s="2"/>
      <x:c r="R15" s="2"/>
      <x:c r="S15" s="2"/>
      <x:c r="T15" s="2"/>
      <x:c r="U15" s="2"/>
      <x:c r="V15" s="2"/>
      <x:c r="W15" s="2"/>
      <x:c r="X15" s="2"/>
      <x:c r="Y15" s="2"/>
      <x:c r="Z15" s="2"/>
    </x:row>
    <x:row r="16">
      <x:c r="A16" s="49"/>
      <x:c r="B16" s="58"/>
      <x:c r="C16" s="7"/>
      <x:c r="D16" s="7"/>
      <x:c r="E16" s="7"/>
      <x:c r="F16" s="7"/>
      <x:c r="G16" s="7"/>
      <x:c r="H16" s="63"/>
      <x:c r="I16" s="64"/>
      <x:c r="J16" s="62" t="str">
        <x:f>IF(A16="","",IF(G16="Cancelled",0,MAX(0,H16-I16)))</x:f>
      </x:c>
      <x:c r="K16" s="2" t="str">
        <x:f>IF(A16="","",IF(G16="Cancelled","No charge",IF(J16=0,"Paid",IF(I16&gt;0,"Partial","Unpaid"))))</x:f>
      </x:c>
      <x:c r="L16" s="2" t="str">
        <x:f>IF(A16="","",IF(AND(G16="Completed",J16&gt;0),"Collect balance",IF(AND(G16="Scheduled",B16&lt;TODAY()),"Review overdue visit","")))</x:f>
      </x:c>
      <x:c r="M16" s="55"/>
      <x:c r="N16" s="2"/>
      <x:c r="O16" s="2"/>
      <x:c r="P16" s="2"/>
      <x:c r="Q16" s="2"/>
      <x:c r="R16" s="2"/>
      <x:c r="S16" s="2"/>
      <x:c r="T16" s="2"/>
      <x:c r="U16" s="2"/>
      <x:c r="V16" s="2"/>
      <x:c r="W16" s="2"/>
      <x:c r="X16" s="2"/>
      <x:c r="Y16" s="2"/>
      <x:c r="Z16" s="2"/>
    </x:row>
    <x:row r="17">
      <x:c r="A17" s="49"/>
      <x:c r="B17" s="58"/>
      <x:c r="C17" s="7"/>
      <x:c r="D17" s="7"/>
      <x:c r="E17" s="7"/>
      <x:c r="F17" s="7"/>
      <x:c r="G17" s="7"/>
      <x:c r="H17" s="63"/>
      <x:c r="I17" s="64"/>
      <x:c r="J17" s="62" t="str">
        <x:f>IF(A17="","",IF(G17="Cancelled",0,MAX(0,H17-I17)))</x:f>
      </x:c>
      <x:c r="K17" s="2" t="str">
        <x:f>IF(A17="","",IF(G17="Cancelled","No charge",IF(J17=0,"Paid",IF(I17&gt;0,"Partial","Unpaid"))))</x:f>
      </x:c>
      <x:c r="L17" s="2" t="str">
        <x:f>IF(A17="","",IF(AND(G17="Completed",J17&gt;0),"Collect balance",IF(AND(G17="Scheduled",B17&lt;TODAY()),"Review overdue visit","")))</x:f>
      </x:c>
      <x:c r="M17" s="55"/>
      <x:c r="N17" s="2"/>
      <x:c r="O17" s="2"/>
      <x:c r="P17" s="2"/>
      <x:c r="Q17" s="2"/>
      <x:c r="R17" s="2"/>
      <x:c r="S17" s="2"/>
      <x:c r="T17" s="2"/>
      <x:c r="U17" s="2"/>
      <x:c r="V17" s="2"/>
      <x:c r="W17" s="2"/>
      <x:c r="X17" s="2"/>
      <x:c r="Y17" s="2"/>
      <x:c r="Z17" s="2"/>
    </x:row>
    <x:row r="18">
      <x:c r="A18" s="49"/>
      <x:c r="B18" s="58"/>
      <x:c r="C18" s="7"/>
      <x:c r="D18" s="7"/>
      <x:c r="E18" s="7"/>
      <x:c r="F18" s="7"/>
      <x:c r="G18" s="7"/>
      <x:c r="H18" s="63"/>
      <x:c r="I18" s="64"/>
      <x:c r="J18" s="62" t="str">
        <x:f>IF(A18="","",IF(G18="Cancelled",0,MAX(0,H18-I18)))</x:f>
      </x:c>
      <x:c r="K18" s="2" t="str">
        <x:f>IF(A18="","",IF(G18="Cancelled","No charge",IF(J18=0,"Paid",IF(I18&gt;0,"Partial","Unpaid"))))</x:f>
      </x:c>
      <x:c r="L18" s="2" t="str">
        <x:f>IF(A18="","",IF(AND(G18="Completed",J18&gt;0),"Collect balance",IF(AND(G18="Scheduled",B18&lt;TODAY()),"Review overdue visit","")))</x:f>
      </x:c>
      <x:c r="M18" s="55"/>
      <x:c r="N18" s="2"/>
      <x:c r="O18" s="2"/>
      <x:c r="P18" s="2"/>
      <x:c r="Q18" s="2"/>
      <x:c r="R18" s="2"/>
      <x:c r="S18" s="2"/>
      <x:c r="T18" s="2"/>
      <x:c r="U18" s="2"/>
      <x:c r="V18" s="2"/>
      <x:c r="W18" s="2"/>
      <x:c r="X18" s="2"/>
      <x:c r="Y18" s="2"/>
      <x:c r="Z18" s="2"/>
    </x:row>
    <x:row r="19">
      <x:c r="A19" s="49"/>
      <x:c r="B19" s="58"/>
      <x:c r="C19" s="7"/>
      <x:c r="D19" s="7"/>
      <x:c r="E19" s="7"/>
      <x:c r="F19" s="7"/>
      <x:c r="G19" s="7"/>
      <x:c r="H19" s="63"/>
      <x:c r="I19" s="64"/>
      <x:c r="J19" s="62" t="str">
        <x:f>IF(A19="","",IF(G19="Cancelled",0,MAX(0,H19-I19)))</x:f>
      </x:c>
      <x:c r="K19" s="2" t="str">
        <x:f>IF(A19="","",IF(G19="Cancelled","No charge",IF(J19=0,"Paid",IF(I19&gt;0,"Partial","Unpaid"))))</x:f>
      </x:c>
      <x:c r="L19" s="2" t="str">
        <x:f>IF(A19="","",IF(AND(G19="Completed",J19&gt;0),"Collect balance",IF(AND(G19="Scheduled",B19&lt;TODAY()),"Review overdue visit","")))</x:f>
      </x:c>
      <x:c r="M19" s="55"/>
      <x:c r="N19" s="2"/>
      <x:c r="O19" s="2"/>
      <x:c r="P19" s="2"/>
      <x:c r="Q19" s="2"/>
      <x:c r="R19" s="2"/>
      <x:c r="S19" s="2"/>
      <x:c r="T19" s="2"/>
      <x:c r="U19" s="2"/>
      <x:c r="V19" s="2"/>
      <x:c r="W19" s="2"/>
      <x:c r="X19" s="2"/>
      <x:c r="Y19" s="2"/>
      <x:c r="Z19" s="2"/>
    </x:row>
    <x:row r="20">
      <x:c r="A20" s="49"/>
      <x:c r="B20" s="58"/>
      <x:c r="C20" s="7"/>
      <x:c r="D20" s="7"/>
      <x:c r="E20" s="7"/>
      <x:c r="F20" s="7"/>
      <x:c r="G20" s="7"/>
      <x:c r="H20" s="63"/>
      <x:c r="I20" s="64"/>
      <x:c r="J20" s="62" t="str">
        <x:f>IF(A20="","",IF(G20="Cancelled",0,MAX(0,H20-I20)))</x:f>
      </x:c>
      <x:c r="K20" s="2" t="str">
        <x:f>IF(A20="","",IF(G20="Cancelled","No charge",IF(J20=0,"Paid",IF(I20&gt;0,"Partial","Unpaid"))))</x:f>
      </x:c>
      <x:c r="L20" s="2" t="str">
        <x:f>IF(A20="","",IF(AND(G20="Completed",J20&gt;0),"Collect balance",IF(AND(G20="Scheduled",B20&lt;TODAY()),"Review overdue visit","")))</x:f>
      </x:c>
      <x:c r="M20" s="55"/>
      <x:c r="N20" s="2"/>
      <x:c r="O20" s="2"/>
      <x:c r="P20" s="2"/>
      <x:c r="Q20" s="2"/>
      <x:c r="R20" s="2"/>
      <x:c r="S20" s="2"/>
      <x:c r="T20" s="2"/>
      <x:c r="U20" s="2"/>
      <x:c r="V20" s="2"/>
      <x:c r="W20" s="2"/>
      <x:c r="X20" s="2"/>
      <x:c r="Y20" s="2"/>
      <x:c r="Z20" s="2"/>
    </x:row>
    <x:row r="21">
      <x:c r="A21" s="49"/>
      <x:c r="B21" s="58"/>
      <x:c r="C21" s="7"/>
      <x:c r="D21" s="7"/>
      <x:c r="E21" s="7"/>
      <x:c r="F21" s="7"/>
      <x:c r="G21" s="7"/>
      <x:c r="H21" s="63"/>
      <x:c r="I21" s="64"/>
      <x:c r="J21" s="62" t="str">
        <x:f>IF(A21="","",IF(G21="Cancelled",0,MAX(0,H21-I21)))</x:f>
      </x:c>
      <x:c r="K21" s="2" t="str">
        <x:f>IF(A21="","",IF(G21="Cancelled","No charge",IF(J21=0,"Paid",IF(I21&gt;0,"Partial","Unpaid"))))</x:f>
      </x:c>
      <x:c r="L21" s="2" t="str">
        <x:f>IF(A21="","",IF(AND(G21="Completed",J21&gt;0),"Collect balance",IF(AND(G21="Scheduled",B21&lt;TODAY()),"Review overdue visit","")))</x:f>
      </x:c>
      <x:c r="M21" s="55"/>
      <x:c r="N21" s="2"/>
      <x:c r="O21" s="2"/>
      <x:c r="P21" s="2"/>
      <x:c r="Q21" s="2"/>
      <x:c r="R21" s="2"/>
      <x:c r="S21" s="2"/>
      <x:c r="T21" s="2"/>
      <x:c r="U21" s="2"/>
      <x:c r="V21" s="2"/>
      <x:c r="W21" s="2"/>
      <x:c r="X21" s="2"/>
      <x:c r="Y21" s="2"/>
      <x:c r="Z21" s="2"/>
    </x:row>
    <x:row r="22">
      <x:c r="A22" s="49"/>
      <x:c r="B22" s="58"/>
      <x:c r="C22" s="7"/>
      <x:c r="D22" s="7"/>
      <x:c r="E22" s="7"/>
      <x:c r="F22" s="7"/>
      <x:c r="G22" s="7"/>
      <x:c r="H22" s="63"/>
      <x:c r="I22" s="64"/>
      <x:c r="J22" s="62" t="str">
        <x:f>IF(A22="","",IF(G22="Cancelled",0,MAX(0,H22-I22)))</x:f>
      </x:c>
      <x:c r="K22" s="2" t="str">
        <x:f>IF(A22="","",IF(G22="Cancelled","No charge",IF(J22=0,"Paid",IF(I22&gt;0,"Partial","Unpaid"))))</x:f>
      </x:c>
      <x:c r="L22" s="2" t="str">
        <x:f>IF(A22="","",IF(AND(G22="Completed",J22&gt;0),"Collect balance",IF(AND(G22="Scheduled",B22&lt;TODAY()),"Review overdue visit","")))</x:f>
      </x:c>
      <x:c r="M22" s="55"/>
      <x:c r="N22" s="2"/>
      <x:c r="O22" s="2"/>
      <x:c r="P22" s="2"/>
      <x:c r="Q22" s="2"/>
      <x:c r="R22" s="2"/>
      <x:c r="S22" s="2"/>
      <x:c r="T22" s="2"/>
      <x:c r="U22" s="2"/>
      <x:c r="V22" s="2"/>
      <x:c r="W22" s="2"/>
      <x:c r="X22" s="2"/>
      <x:c r="Y22" s="2"/>
      <x:c r="Z22" s="2"/>
    </x:row>
    <x:row r="23">
      <x:c r="A23" s="49"/>
      <x:c r="B23" s="58"/>
      <x:c r="C23" s="7"/>
      <x:c r="D23" s="7"/>
      <x:c r="E23" s="7"/>
      <x:c r="F23" s="7"/>
      <x:c r="G23" s="7"/>
      <x:c r="H23" s="63"/>
      <x:c r="I23" s="64"/>
      <x:c r="J23" s="62" t="str">
        <x:f>IF(A23="","",IF(G23="Cancelled",0,MAX(0,H23-I23)))</x:f>
      </x:c>
      <x:c r="K23" s="2" t="str">
        <x:f>IF(A23="","",IF(G23="Cancelled","No charge",IF(J23=0,"Paid",IF(I23&gt;0,"Partial","Unpaid"))))</x:f>
      </x:c>
      <x:c r="L23" s="2" t="str">
        <x:f>IF(A23="","",IF(AND(G23="Completed",J23&gt;0),"Collect balance",IF(AND(G23="Scheduled",B23&lt;TODAY()),"Review overdue visit","")))</x:f>
      </x:c>
      <x:c r="M23" s="55"/>
      <x:c r="N23" s="2"/>
      <x:c r="O23" s="2"/>
      <x:c r="P23" s="2"/>
      <x:c r="Q23" s="2"/>
      <x:c r="R23" s="2"/>
      <x:c r="S23" s="2"/>
      <x:c r="T23" s="2"/>
      <x:c r="U23" s="2"/>
      <x:c r="V23" s="2"/>
      <x:c r="W23" s="2"/>
      <x:c r="X23" s="2"/>
      <x:c r="Y23" s="2"/>
      <x:c r="Z23" s="2"/>
    </x:row>
    <x:row r="24">
      <x:c r="A24" s="49"/>
      <x:c r="B24" s="58"/>
      <x:c r="C24" s="7"/>
      <x:c r="D24" s="7"/>
      <x:c r="E24" s="7"/>
      <x:c r="F24" s="7"/>
      <x:c r="G24" s="7"/>
      <x:c r="H24" s="63"/>
      <x:c r="I24" s="64"/>
      <x:c r="J24" s="62" t="str">
        <x:f>IF(A24="","",IF(G24="Cancelled",0,MAX(0,H24-I24)))</x:f>
      </x:c>
      <x:c r="K24" s="2" t="str">
        <x:f>IF(A24="","",IF(G24="Cancelled","No charge",IF(J24=0,"Paid",IF(I24&gt;0,"Partial","Unpaid"))))</x:f>
      </x:c>
      <x:c r="L24" s="2" t="str">
        <x:f>IF(A24="","",IF(AND(G24="Completed",J24&gt;0),"Collect balance",IF(AND(G24="Scheduled",B24&lt;TODAY()),"Review overdue visit","")))</x:f>
      </x:c>
      <x:c r="M24" s="55"/>
      <x:c r="N24" s="2"/>
      <x:c r="O24" s="2"/>
      <x:c r="P24" s="2"/>
      <x:c r="Q24" s="2"/>
      <x:c r="R24" s="2"/>
      <x:c r="S24" s="2"/>
      <x:c r="T24" s="2"/>
      <x:c r="U24" s="2"/>
      <x:c r="V24" s="2"/>
      <x:c r="W24" s="2"/>
      <x:c r="X24" s="2"/>
      <x:c r="Y24" s="2"/>
      <x:c r="Z24" s="2"/>
    </x:row>
    <x:row r="25">
      <x:c r="A25" s="49"/>
      <x:c r="B25" s="58"/>
      <x:c r="C25" s="7"/>
      <x:c r="D25" s="7"/>
      <x:c r="E25" s="7"/>
      <x:c r="F25" s="7"/>
      <x:c r="G25" s="7"/>
      <x:c r="H25" s="63"/>
      <x:c r="I25" s="64"/>
      <x:c r="J25" s="62" t="str">
        <x:f>IF(A25="","",IF(G25="Cancelled",0,MAX(0,H25-I25)))</x:f>
      </x:c>
      <x:c r="K25" s="2" t="str">
        <x:f>IF(A25="","",IF(G25="Cancelled","No charge",IF(J25=0,"Paid",IF(I25&gt;0,"Partial","Unpaid"))))</x:f>
      </x:c>
      <x:c r="L25" s="2" t="str">
        <x:f>IF(A25="","",IF(AND(G25="Completed",J25&gt;0),"Collect balance",IF(AND(G25="Scheduled",B25&lt;TODAY()),"Review overdue visit","")))</x:f>
      </x:c>
      <x:c r="M25" s="55"/>
      <x:c r="N25" s="2"/>
      <x:c r="O25" s="2"/>
      <x:c r="P25" s="2"/>
      <x:c r="Q25" s="2"/>
      <x:c r="R25" s="2"/>
      <x:c r="S25" s="2"/>
      <x:c r="T25" s="2"/>
      <x:c r="U25" s="2"/>
      <x:c r="V25" s="2"/>
      <x:c r="W25" s="2"/>
      <x:c r="X25" s="2"/>
      <x:c r="Y25" s="2"/>
      <x:c r="Z25" s="2"/>
    </x:row>
    <x:row r="26">
      <x:c r="A26" s="49"/>
      <x:c r="B26" s="58"/>
      <x:c r="C26" s="7"/>
      <x:c r="D26" s="7"/>
      <x:c r="E26" s="7"/>
      <x:c r="F26" s="7"/>
      <x:c r="G26" s="7"/>
      <x:c r="H26" s="63"/>
      <x:c r="I26" s="64"/>
      <x:c r="J26" s="62" t="str">
        <x:f>IF(A26="","",IF(G26="Cancelled",0,MAX(0,H26-I26)))</x:f>
      </x:c>
      <x:c r="K26" s="2" t="str">
        <x:f>IF(A26="","",IF(G26="Cancelled","No charge",IF(J26=0,"Paid",IF(I26&gt;0,"Partial","Unpaid"))))</x:f>
      </x:c>
      <x:c r="L26" s="2" t="str">
        <x:f>IF(A26="","",IF(AND(G26="Completed",J26&gt;0),"Collect balance",IF(AND(G26="Scheduled",B26&lt;TODAY()),"Review overdue visit","")))</x:f>
      </x:c>
      <x:c r="M26" s="55"/>
      <x:c r="N26" s="2"/>
      <x:c r="O26" s="2"/>
      <x:c r="P26" s="2"/>
      <x:c r="Q26" s="2"/>
      <x:c r="R26" s="2"/>
      <x:c r="S26" s="2"/>
      <x:c r="T26" s="2"/>
      <x:c r="U26" s="2"/>
      <x:c r="V26" s="2"/>
      <x:c r="W26" s="2"/>
      <x:c r="X26" s="2"/>
      <x:c r="Y26" s="2"/>
      <x:c r="Z26" s="2"/>
    </x:row>
    <x:row r="27">
      <x:c r="A27" s="49"/>
      <x:c r="B27" s="58"/>
      <x:c r="C27" s="7"/>
      <x:c r="D27" s="7"/>
      <x:c r="E27" s="7"/>
      <x:c r="F27" s="7"/>
      <x:c r="G27" s="7"/>
      <x:c r="H27" s="63"/>
      <x:c r="I27" s="64"/>
      <x:c r="J27" s="62" t="str">
        <x:f>IF(A27="","",IF(G27="Cancelled",0,MAX(0,H27-I27)))</x:f>
      </x:c>
      <x:c r="K27" s="2" t="str">
        <x:f>IF(A27="","",IF(G27="Cancelled","No charge",IF(J27=0,"Paid",IF(I27&gt;0,"Partial","Unpaid"))))</x:f>
      </x:c>
      <x:c r="L27" s="2" t="str">
        <x:f>IF(A27="","",IF(AND(G27="Completed",J27&gt;0),"Collect balance",IF(AND(G27="Scheduled",B27&lt;TODAY()),"Review overdue visit","")))</x:f>
      </x:c>
      <x:c r="M27" s="55"/>
      <x:c r="N27" s="2"/>
      <x:c r="O27" s="2"/>
      <x:c r="P27" s="2"/>
      <x:c r="Q27" s="2"/>
      <x:c r="R27" s="2"/>
      <x:c r="S27" s="2"/>
      <x:c r="T27" s="2"/>
      <x:c r="U27" s="2"/>
      <x:c r="V27" s="2"/>
      <x:c r="W27" s="2"/>
      <x:c r="X27" s="2"/>
      <x:c r="Y27" s="2"/>
      <x:c r="Z27" s="2"/>
    </x:row>
    <x:row r="28">
      <x:c r="A28" s="49"/>
      <x:c r="B28" s="58"/>
      <x:c r="C28" s="7"/>
      <x:c r="D28" s="7"/>
      <x:c r="E28" s="7"/>
      <x:c r="F28" s="7"/>
      <x:c r="G28" s="7"/>
      <x:c r="H28" s="63"/>
      <x:c r="I28" s="64"/>
      <x:c r="J28" s="62" t="str">
        <x:f>IF(A28="","",IF(G28="Cancelled",0,MAX(0,H28-I28)))</x:f>
      </x:c>
      <x:c r="K28" s="2" t="str">
        <x:f>IF(A28="","",IF(G28="Cancelled","No charge",IF(J28=0,"Paid",IF(I28&gt;0,"Partial","Unpaid"))))</x:f>
      </x:c>
      <x:c r="L28" s="2" t="str">
        <x:f>IF(A28="","",IF(AND(G28="Completed",J28&gt;0),"Collect balance",IF(AND(G28="Scheduled",B28&lt;TODAY()),"Review overdue visit","")))</x:f>
      </x:c>
      <x:c r="M28" s="55"/>
      <x:c r="N28" s="2"/>
      <x:c r="O28" s="2"/>
      <x:c r="P28" s="2"/>
      <x:c r="Q28" s="2"/>
      <x:c r="R28" s="2"/>
      <x:c r="S28" s="2"/>
      <x:c r="T28" s="2"/>
      <x:c r="U28" s="2"/>
      <x:c r="V28" s="2"/>
      <x:c r="W28" s="2"/>
      <x:c r="X28" s="2"/>
      <x:c r="Y28" s="2"/>
      <x:c r="Z28" s="2"/>
    </x:row>
    <x:row r="29">
      <x:c r="A29" s="49"/>
      <x:c r="B29" s="58"/>
      <x:c r="C29" s="7"/>
      <x:c r="D29" s="7"/>
      <x:c r="E29" s="7"/>
      <x:c r="F29" s="7"/>
      <x:c r="G29" s="7"/>
      <x:c r="H29" s="63"/>
      <x:c r="I29" s="64"/>
      <x:c r="J29" s="62" t="str">
        <x:f>IF(A29="","",IF(G29="Cancelled",0,MAX(0,H29-I29)))</x:f>
      </x:c>
      <x:c r="K29" s="2" t="str">
        <x:f>IF(A29="","",IF(G29="Cancelled","No charge",IF(J29=0,"Paid",IF(I29&gt;0,"Partial","Unpaid"))))</x:f>
      </x:c>
      <x:c r="L29" s="2" t="str">
        <x:f>IF(A29="","",IF(AND(G29="Completed",J29&gt;0),"Collect balance",IF(AND(G29="Scheduled",B29&lt;TODAY()),"Review overdue visit","")))</x:f>
      </x:c>
      <x:c r="M29" s="55"/>
      <x:c r="N29" s="2"/>
      <x:c r="O29" s="2"/>
      <x:c r="P29" s="2"/>
      <x:c r="Q29" s="2"/>
      <x:c r="R29" s="2"/>
      <x:c r="S29" s="2"/>
      <x:c r="T29" s="2"/>
      <x:c r="U29" s="2"/>
      <x:c r="V29" s="2"/>
      <x:c r="W29" s="2"/>
      <x:c r="X29" s="2"/>
      <x:c r="Y29" s="2"/>
      <x:c r="Z29" s="2"/>
    </x:row>
    <x:row r="30">
      <x:c r="A30" s="49"/>
      <x:c r="B30" s="58"/>
      <x:c r="C30" s="7"/>
      <x:c r="D30" s="7"/>
      <x:c r="E30" s="7"/>
      <x:c r="F30" s="7"/>
      <x:c r="G30" s="7"/>
      <x:c r="H30" s="63"/>
      <x:c r="I30" s="64"/>
      <x:c r="J30" s="62" t="str">
        <x:f>IF(A30="","",IF(G30="Cancelled",0,MAX(0,H30-I30)))</x:f>
      </x:c>
      <x:c r="K30" s="2" t="str">
        <x:f>IF(A30="","",IF(G30="Cancelled","No charge",IF(J30=0,"Paid",IF(I30&gt;0,"Partial","Unpaid"))))</x:f>
      </x:c>
      <x:c r="L30" s="2" t="str">
        <x:f>IF(A30="","",IF(AND(G30="Completed",J30&gt;0),"Collect balance",IF(AND(G30="Scheduled",B30&lt;TODAY()),"Review overdue visit","")))</x:f>
      </x:c>
      <x:c r="M30" s="55"/>
      <x:c r="N30" s="2"/>
      <x:c r="O30" s="2"/>
      <x:c r="P30" s="2"/>
      <x:c r="Q30" s="2"/>
      <x:c r="R30" s="2"/>
      <x:c r="S30" s="2"/>
      <x:c r="T30" s="2"/>
      <x:c r="U30" s="2"/>
      <x:c r="V30" s="2"/>
      <x:c r="W30" s="2"/>
      <x:c r="X30" s="2"/>
      <x:c r="Y30" s="2"/>
      <x:c r="Z30" s="2"/>
    </x:row>
    <x:row r="31">
      <x:c r="A31" s="49"/>
      <x:c r="B31" s="58"/>
      <x:c r="C31" s="7"/>
      <x:c r="D31" s="7"/>
      <x:c r="E31" s="7"/>
      <x:c r="F31" s="7"/>
      <x:c r="G31" s="7"/>
      <x:c r="H31" s="63"/>
      <x:c r="I31" s="64"/>
      <x:c r="J31" s="62" t="str">
        <x:f>IF(A31="","",IF(G31="Cancelled",0,MAX(0,H31-I31)))</x:f>
      </x:c>
      <x:c r="K31" s="2" t="str">
        <x:f>IF(A31="","",IF(G31="Cancelled","No charge",IF(J31=0,"Paid",IF(I31&gt;0,"Partial","Unpaid"))))</x:f>
      </x:c>
      <x:c r="L31" s="2" t="str">
        <x:f>IF(A31="","",IF(AND(G31="Completed",J31&gt;0),"Collect balance",IF(AND(G31="Scheduled",B31&lt;TODAY()),"Review overdue visit","")))</x:f>
      </x:c>
      <x:c r="M31" s="55"/>
      <x:c r="N31" s="2"/>
      <x:c r="O31" s="2"/>
      <x:c r="P31" s="2"/>
      <x:c r="Q31" s="2"/>
      <x:c r="R31" s="2"/>
      <x:c r="S31" s="2"/>
      <x:c r="T31" s="2"/>
      <x:c r="U31" s="2"/>
      <x:c r="V31" s="2"/>
      <x:c r="W31" s="2"/>
      <x:c r="X31" s="2"/>
      <x:c r="Y31" s="2"/>
      <x:c r="Z31" s="2"/>
    </x:row>
    <x:row r="32">
      <x:c r="A32" s="49"/>
      <x:c r="B32" s="58"/>
      <x:c r="C32" s="7"/>
      <x:c r="D32" s="7"/>
      <x:c r="E32" s="7"/>
      <x:c r="F32" s="7"/>
      <x:c r="G32" s="7"/>
      <x:c r="H32" s="63"/>
      <x:c r="I32" s="64"/>
      <x:c r="J32" s="62" t="str">
        <x:f>IF(A32="","",IF(G32="Cancelled",0,MAX(0,H32-I32)))</x:f>
      </x:c>
      <x:c r="K32" s="2" t="str">
        <x:f>IF(A32="","",IF(G32="Cancelled","No charge",IF(J32=0,"Paid",IF(I32&gt;0,"Partial","Unpaid"))))</x:f>
      </x:c>
      <x:c r="L32" s="2" t="str">
        <x:f>IF(A32="","",IF(AND(G32="Completed",J32&gt;0),"Collect balance",IF(AND(G32="Scheduled",B32&lt;TODAY()),"Review overdue visit","")))</x:f>
      </x:c>
      <x:c r="M32" s="55"/>
      <x:c r="N32" s="2"/>
      <x:c r="O32" s="2"/>
      <x:c r="P32" s="2"/>
      <x:c r="Q32" s="2"/>
      <x:c r="R32" s="2"/>
      <x:c r="S32" s="2"/>
      <x:c r="T32" s="2"/>
      <x:c r="U32" s="2"/>
      <x:c r="V32" s="2"/>
      <x:c r="W32" s="2"/>
      <x:c r="X32" s="2"/>
      <x:c r="Y32" s="2"/>
      <x:c r="Z32" s="2"/>
    </x:row>
    <x:row r="33">
      <x:c r="A33" s="49"/>
      <x:c r="B33" s="58"/>
      <x:c r="C33" s="7"/>
      <x:c r="D33" s="7"/>
      <x:c r="E33" s="7"/>
      <x:c r="F33" s="7"/>
      <x:c r="G33" s="7"/>
      <x:c r="H33" s="63"/>
      <x:c r="I33" s="64"/>
      <x:c r="J33" s="62" t="str">
        <x:f>IF(A33="","",IF(G33="Cancelled",0,MAX(0,H33-I33)))</x:f>
      </x:c>
      <x:c r="K33" s="2" t="str">
        <x:f>IF(A33="","",IF(G33="Cancelled","No charge",IF(J33=0,"Paid",IF(I33&gt;0,"Partial","Unpaid"))))</x:f>
      </x:c>
      <x:c r="L33" s="2" t="str">
        <x:f>IF(A33="","",IF(AND(G33="Completed",J33&gt;0),"Collect balance",IF(AND(G33="Scheduled",B33&lt;TODAY()),"Review overdue visit","")))</x:f>
      </x:c>
      <x:c r="M33" s="55"/>
      <x:c r="N33" s="2"/>
      <x:c r="O33" s="2"/>
      <x:c r="P33" s="2"/>
      <x:c r="Q33" s="2"/>
      <x:c r="R33" s="2"/>
      <x:c r="S33" s="2"/>
      <x:c r="T33" s="2"/>
      <x:c r="U33" s="2"/>
      <x:c r="V33" s="2"/>
      <x:c r="W33" s="2"/>
      <x:c r="X33" s="2"/>
      <x:c r="Y33" s="2"/>
      <x:c r="Z33" s="2"/>
    </x:row>
    <x:row r="34">
      <x:c r="A34" s="49"/>
      <x:c r="B34" s="58"/>
      <x:c r="C34" s="7"/>
      <x:c r="D34" s="7"/>
      <x:c r="E34" s="7"/>
      <x:c r="F34" s="7"/>
      <x:c r="G34" s="7"/>
      <x:c r="H34" s="63"/>
      <x:c r="I34" s="64"/>
      <x:c r="J34" s="62" t="str">
        <x:f>IF(A34="","",IF(G34="Cancelled",0,MAX(0,H34-I34)))</x:f>
      </x:c>
      <x:c r="K34" s="2" t="str">
        <x:f>IF(A34="","",IF(G34="Cancelled","No charge",IF(J34=0,"Paid",IF(I34&gt;0,"Partial","Unpaid"))))</x:f>
      </x:c>
      <x:c r="L34" s="2" t="str">
        <x:f>IF(A34="","",IF(AND(G34="Completed",J34&gt;0),"Collect balance",IF(AND(G34="Scheduled",B34&lt;TODAY()),"Review overdue visit","")))</x:f>
      </x:c>
      <x:c r="M34" s="55"/>
      <x:c r="N34" s="2"/>
      <x:c r="O34" s="2"/>
      <x:c r="P34" s="2"/>
      <x:c r="Q34" s="2"/>
      <x:c r="R34" s="2"/>
      <x:c r="S34" s="2"/>
      <x:c r="T34" s="2"/>
      <x:c r="U34" s="2"/>
      <x:c r="V34" s="2"/>
      <x:c r="W34" s="2"/>
      <x:c r="X34" s="2"/>
      <x:c r="Y34" s="2"/>
      <x:c r="Z34" s="2"/>
    </x:row>
    <x:row r="35">
      <x:c r="A35" s="49"/>
      <x:c r="B35" s="58"/>
      <x:c r="C35" s="7"/>
      <x:c r="D35" s="7"/>
      <x:c r="E35" s="7"/>
      <x:c r="F35" s="7"/>
      <x:c r="G35" s="7"/>
      <x:c r="H35" s="63"/>
      <x:c r="I35" s="64"/>
      <x:c r="J35" s="62" t="str">
        <x:f>IF(A35="","",IF(G35="Cancelled",0,MAX(0,H35-I35)))</x:f>
      </x:c>
      <x:c r="K35" s="2" t="str">
        <x:f>IF(A35="","",IF(G35="Cancelled","No charge",IF(J35=0,"Paid",IF(I35&gt;0,"Partial","Unpaid"))))</x:f>
      </x:c>
      <x:c r="L35" s="2" t="str">
        <x:f>IF(A35="","",IF(AND(G35="Completed",J35&gt;0),"Collect balance",IF(AND(G35="Scheduled",B35&lt;TODAY()),"Review overdue visit","")))</x:f>
      </x:c>
      <x:c r="M35" s="55"/>
      <x:c r="N35" s="2"/>
      <x:c r="O35" s="2"/>
      <x:c r="P35" s="2"/>
      <x:c r="Q35" s="2"/>
      <x:c r="R35" s="2"/>
      <x:c r="S35" s="2"/>
      <x:c r="T35" s="2"/>
      <x:c r="U35" s="2"/>
      <x:c r="V35" s="2"/>
      <x:c r="W35" s="2"/>
      <x:c r="X35" s="2"/>
      <x:c r="Y35" s="2"/>
      <x:c r="Z35" s="2"/>
    </x:row>
    <x:row r="36">
      <x:c r="A36" s="49"/>
      <x:c r="B36" s="58"/>
      <x:c r="C36" s="7"/>
      <x:c r="D36" s="7"/>
      <x:c r="E36" s="7"/>
      <x:c r="F36" s="7"/>
      <x:c r="G36" s="7"/>
      <x:c r="H36" s="63"/>
      <x:c r="I36" s="64"/>
      <x:c r="J36" s="62" t="str">
        <x:f>IF(A36="","",IF(G36="Cancelled",0,MAX(0,H36-I36)))</x:f>
      </x:c>
      <x:c r="K36" s="2" t="str">
        <x:f>IF(A36="","",IF(G36="Cancelled","No charge",IF(J36=0,"Paid",IF(I36&gt;0,"Partial","Unpaid"))))</x:f>
      </x:c>
      <x:c r="L36" s="2" t="str">
        <x:f>IF(A36="","",IF(AND(G36="Completed",J36&gt;0),"Collect balance",IF(AND(G36="Scheduled",B36&lt;TODAY()),"Review overdue visit","")))</x:f>
      </x:c>
      <x:c r="M36" s="55"/>
      <x:c r="N36" s="2"/>
      <x:c r="O36" s="2"/>
      <x:c r="P36" s="2"/>
      <x:c r="Q36" s="2"/>
      <x:c r="R36" s="2"/>
      <x:c r="S36" s="2"/>
      <x:c r="T36" s="2"/>
      <x:c r="U36" s="2"/>
      <x:c r="V36" s="2"/>
      <x:c r="W36" s="2"/>
      <x:c r="X36" s="2"/>
      <x:c r="Y36" s="2"/>
      <x:c r="Z36" s="2"/>
    </x:row>
    <x:row r="37">
      <x:c r="A37" s="49"/>
      <x:c r="B37" s="58"/>
      <x:c r="C37" s="7"/>
      <x:c r="D37" s="7"/>
      <x:c r="E37" s="7"/>
      <x:c r="F37" s="7"/>
      <x:c r="G37" s="7"/>
      <x:c r="H37" s="63"/>
      <x:c r="I37" s="64"/>
      <x:c r="J37" s="62" t="str">
        <x:f>IF(A37="","",IF(G37="Cancelled",0,MAX(0,H37-I37)))</x:f>
      </x:c>
      <x:c r="K37" s="2" t="str">
        <x:f>IF(A37="","",IF(G37="Cancelled","No charge",IF(J37=0,"Paid",IF(I37&gt;0,"Partial","Unpaid"))))</x:f>
      </x:c>
      <x:c r="L37" s="2" t="str">
        <x:f>IF(A37="","",IF(AND(G37="Completed",J37&gt;0),"Collect balance",IF(AND(G37="Scheduled",B37&lt;TODAY()),"Review overdue visit","")))</x:f>
      </x:c>
      <x:c r="M37" s="55"/>
      <x:c r="N37" s="2"/>
      <x:c r="O37" s="2"/>
      <x:c r="P37" s="2"/>
      <x:c r="Q37" s="2"/>
      <x:c r="R37" s="2"/>
      <x:c r="S37" s="2"/>
      <x:c r="T37" s="2"/>
      <x:c r="U37" s="2"/>
      <x:c r="V37" s="2"/>
      <x:c r="W37" s="2"/>
      <x:c r="X37" s="2"/>
      <x:c r="Y37" s="2"/>
      <x:c r="Z37" s="2"/>
    </x:row>
    <x:row r="38">
      <x:c r="A38" s="49"/>
      <x:c r="B38" s="58"/>
      <x:c r="C38" s="7"/>
      <x:c r="D38" s="7"/>
      <x:c r="E38" s="7"/>
      <x:c r="F38" s="7"/>
      <x:c r="G38" s="7"/>
      <x:c r="H38" s="63"/>
      <x:c r="I38" s="64"/>
      <x:c r="J38" s="62" t="str">
        <x:f>IF(A38="","",IF(G38="Cancelled",0,MAX(0,H38-I38)))</x:f>
      </x:c>
      <x:c r="K38" s="2" t="str">
        <x:f>IF(A38="","",IF(G38="Cancelled","No charge",IF(J38=0,"Paid",IF(I38&gt;0,"Partial","Unpaid"))))</x:f>
      </x:c>
      <x:c r="L38" s="2" t="str">
        <x:f>IF(A38="","",IF(AND(G38="Completed",J38&gt;0),"Collect balance",IF(AND(G38="Scheduled",B38&lt;TODAY()),"Review overdue visit","")))</x:f>
      </x:c>
      <x:c r="M38" s="55"/>
      <x:c r="N38" s="2"/>
      <x:c r="O38" s="2"/>
      <x:c r="P38" s="2"/>
      <x:c r="Q38" s="2"/>
      <x:c r="R38" s="2"/>
      <x:c r="S38" s="2"/>
      <x:c r="T38" s="2"/>
      <x:c r="U38" s="2"/>
      <x:c r="V38" s="2"/>
      <x:c r="W38" s="2"/>
      <x:c r="X38" s="2"/>
      <x:c r="Y38" s="2"/>
      <x:c r="Z38" s="2"/>
    </x:row>
    <x:row r="39">
      <x:c r="A39" s="49"/>
      <x:c r="B39" s="58"/>
      <x:c r="C39" s="7"/>
      <x:c r="D39" s="7"/>
      <x:c r="E39" s="7"/>
      <x:c r="F39" s="7"/>
      <x:c r="G39" s="7"/>
      <x:c r="H39" s="63"/>
      <x:c r="I39" s="64"/>
      <x:c r="J39" s="62" t="str">
        <x:f>IF(A39="","",IF(G39="Cancelled",0,MAX(0,H39-I39)))</x:f>
      </x:c>
      <x:c r="K39" s="2" t="str">
        <x:f>IF(A39="","",IF(G39="Cancelled","No charge",IF(J39=0,"Paid",IF(I39&gt;0,"Partial","Unpaid"))))</x:f>
      </x:c>
      <x:c r="L39" s="2" t="str">
        <x:f>IF(A39="","",IF(AND(G39="Completed",J39&gt;0),"Collect balance",IF(AND(G39="Scheduled",B39&lt;TODAY()),"Review overdue visit","")))</x:f>
      </x:c>
      <x:c r="M39" s="55"/>
      <x:c r="N39" s="2"/>
      <x:c r="O39" s="2"/>
      <x:c r="P39" s="2"/>
      <x:c r="Q39" s="2"/>
      <x:c r="R39" s="2"/>
      <x:c r="S39" s="2"/>
      <x:c r="T39" s="2"/>
      <x:c r="U39" s="2"/>
      <x:c r="V39" s="2"/>
      <x:c r="W39" s="2"/>
      <x:c r="X39" s="2"/>
      <x:c r="Y39" s="2"/>
      <x:c r="Z39" s="2"/>
    </x:row>
    <x:row r="40">
      <x:c r="A40" s="49"/>
      <x:c r="B40" s="58"/>
      <x:c r="C40" s="7"/>
      <x:c r="D40" s="7"/>
      <x:c r="E40" s="7"/>
      <x:c r="F40" s="7"/>
      <x:c r="G40" s="7"/>
      <x:c r="H40" s="63"/>
      <x:c r="I40" s="64"/>
      <x:c r="J40" s="62" t="str">
        <x:f>IF(A40="","",IF(G40="Cancelled",0,MAX(0,H40-I40)))</x:f>
      </x:c>
      <x:c r="K40" s="2" t="str">
        <x:f>IF(A40="","",IF(G40="Cancelled","No charge",IF(J40=0,"Paid",IF(I40&gt;0,"Partial","Unpaid"))))</x:f>
      </x:c>
      <x:c r="L40" s="2" t="str">
        <x:f>IF(A40="","",IF(AND(G40="Completed",J40&gt;0),"Collect balance",IF(AND(G40="Scheduled",B40&lt;TODAY()),"Review overdue visit","")))</x:f>
      </x:c>
      <x:c r="M40" s="55"/>
      <x:c r="N40" s="2"/>
      <x:c r="O40" s="2"/>
      <x:c r="P40" s="2"/>
      <x:c r="Q40" s="2"/>
      <x:c r="R40" s="2"/>
      <x:c r="S40" s="2"/>
      <x:c r="T40" s="2"/>
      <x:c r="U40" s="2"/>
      <x:c r="V40" s="2"/>
      <x:c r="W40" s="2"/>
      <x:c r="X40" s="2"/>
      <x:c r="Y40" s="2"/>
      <x:c r="Z40" s="2"/>
    </x:row>
    <x:row r="41">
      <x:c r="A41" s="49"/>
      <x:c r="B41" s="58"/>
      <x:c r="C41" s="7"/>
      <x:c r="D41" s="7"/>
      <x:c r="E41" s="7"/>
      <x:c r="F41" s="7"/>
      <x:c r="G41" s="7"/>
      <x:c r="H41" s="63"/>
      <x:c r="I41" s="64"/>
      <x:c r="J41" s="62" t="str">
        <x:f>IF(A41="","",IF(G41="Cancelled",0,MAX(0,H41-I41)))</x:f>
      </x:c>
      <x:c r="K41" s="2" t="str">
        <x:f>IF(A41="","",IF(G41="Cancelled","No charge",IF(J41=0,"Paid",IF(I41&gt;0,"Partial","Unpaid"))))</x:f>
      </x:c>
      <x:c r="L41" s="2" t="str">
        <x:f>IF(A41="","",IF(AND(G41="Completed",J41&gt;0),"Collect balance",IF(AND(G41="Scheduled",B41&lt;TODAY()),"Review overdue visit","")))</x:f>
      </x:c>
      <x:c r="M41" s="55"/>
      <x:c r="N41" s="2"/>
      <x:c r="O41" s="2"/>
      <x:c r="P41" s="2"/>
      <x:c r="Q41" s="2"/>
      <x:c r="R41" s="2"/>
      <x:c r="S41" s="2"/>
      <x:c r="T41" s="2"/>
      <x:c r="U41" s="2"/>
      <x:c r="V41" s="2"/>
      <x:c r="W41" s="2"/>
      <x:c r="X41" s="2"/>
      <x:c r="Y41" s="2"/>
      <x:c r="Z41" s="2"/>
    </x:row>
    <x:row r="42">
      <x:c r="A42" s="49"/>
      <x:c r="B42" s="58"/>
      <x:c r="C42" s="7"/>
      <x:c r="D42" s="7"/>
      <x:c r="E42" s="7"/>
      <x:c r="F42" s="7"/>
      <x:c r="G42" s="7"/>
      <x:c r="H42" s="63"/>
      <x:c r="I42" s="64"/>
      <x:c r="J42" s="62" t="str">
        <x:f>IF(A42="","",IF(G42="Cancelled",0,MAX(0,H42-I42)))</x:f>
      </x:c>
      <x:c r="K42" s="2" t="str">
        <x:f>IF(A42="","",IF(G42="Cancelled","No charge",IF(J42=0,"Paid",IF(I42&gt;0,"Partial","Unpaid"))))</x:f>
      </x:c>
      <x:c r="L42" s="2" t="str">
        <x:f>IF(A42="","",IF(AND(G42="Completed",J42&gt;0),"Collect balance",IF(AND(G42="Scheduled",B42&lt;TODAY()),"Review overdue visit","")))</x:f>
      </x:c>
      <x:c r="M42" s="55"/>
      <x:c r="N42" s="2"/>
      <x:c r="O42" s="2"/>
      <x:c r="P42" s="2"/>
      <x:c r="Q42" s="2"/>
      <x:c r="R42" s="2"/>
      <x:c r="S42" s="2"/>
      <x:c r="T42" s="2"/>
      <x:c r="U42" s="2"/>
      <x:c r="V42" s="2"/>
      <x:c r="W42" s="2"/>
      <x:c r="X42" s="2"/>
      <x:c r="Y42" s="2"/>
      <x:c r="Z42" s="2"/>
    </x:row>
    <x:row r="43">
      <x:c r="A43" s="49"/>
      <x:c r="B43" s="58"/>
      <x:c r="C43" s="7"/>
      <x:c r="D43" s="7"/>
      <x:c r="E43" s="7"/>
      <x:c r="F43" s="7"/>
      <x:c r="G43" s="7"/>
      <x:c r="H43" s="63"/>
      <x:c r="I43" s="64"/>
      <x:c r="J43" s="62" t="str">
        <x:f>IF(A43="","",IF(G43="Cancelled",0,MAX(0,H43-I43)))</x:f>
      </x:c>
      <x:c r="K43" s="2" t="str">
        <x:f>IF(A43="","",IF(G43="Cancelled","No charge",IF(J43=0,"Paid",IF(I43&gt;0,"Partial","Unpaid"))))</x:f>
      </x:c>
      <x:c r="L43" s="2" t="str">
        <x:f>IF(A43="","",IF(AND(G43="Completed",J43&gt;0),"Collect balance",IF(AND(G43="Scheduled",B43&lt;TODAY()),"Review overdue visit","")))</x:f>
      </x:c>
      <x:c r="M43" s="55"/>
      <x:c r="N43" s="2"/>
      <x:c r="O43" s="2"/>
      <x:c r="P43" s="2"/>
      <x:c r="Q43" s="2"/>
      <x:c r="R43" s="2"/>
      <x:c r="S43" s="2"/>
      <x:c r="T43" s="2"/>
      <x:c r="U43" s="2"/>
      <x:c r="V43" s="2"/>
      <x:c r="W43" s="2"/>
      <x:c r="X43" s="2"/>
      <x:c r="Y43" s="2"/>
      <x:c r="Z43" s="2"/>
    </x:row>
    <x:row r="44">
      <x:c r="A44" s="49"/>
      <x:c r="B44" s="58"/>
      <x:c r="C44" s="7"/>
      <x:c r="D44" s="7"/>
      <x:c r="E44" s="7"/>
      <x:c r="F44" s="7"/>
      <x:c r="G44" s="7"/>
      <x:c r="H44" s="63"/>
      <x:c r="I44" s="64"/>
      <x:c r="J44" s="62" t="str">
        <x:f>IF(A44="","",IF(G44="Cancelled",0,MAX(0,H44-I44)))</x:f>
      </x:c>
      <x:c r="K44" s="2" t="str">
        <x:f>IF(A44="","",IF(G44="Cancelled","No charge",IF(J44=0,"Paid",IF(I44&gt;0,"Partial","Unpaid"))))</x:f>
      </x:c>
      <x:c r="L44" s="2" t="str">
        <x:f>IF(A44="","",IF(AND(G44="Completed",J44&gt;0),"Collect balance",IF(AND(G44="Scheduled",B44&lt;TODAY()),"Review overdue visit","")))</x:f>
      </x:c>
      <x:c r="M44" s="55"/>
      <x:c r="N44" s="2"/>
      <x:c r="O44" s="2"/>
      <x:c r="P44" s="2"/>
      <x:c r="Q44" s="2"/>
      <x:c r="R44" s="2"/>
      <x:c r="S44" s="2"/>
      <x:c r="T44" s="2"/>
      <x:c r="U44" s="2"/>
      <x:c r="V44" s="2"/>
      <x:c r="W44" s="2"/>
      <x:c r="X44" s="2"/>
      <x:c r="Y44" s="2"/>
      <x:c r="Z44" s="2"/>
    </x:row>
    <x:row r="45">
      <x:c r="A45" s="49"/>
      <x:c r="B45" s="58"/>
      <x:c r="C45" s="7"/>
      <x:c r="D45" s="7"/>
      <x:c r="E45" s="7"/>
      <x:c r="F45" s="7"/>
      <x:c r="G45" s="7"/>
      <x:c r="H45" s="63"/>
      <x:c r="I45" s="64"/>
      <x:c r="J45" s="62" t="str">
        <x:f>IF(A45="","",IF(G45="Cancelled",0,MAX(0,H45-I45)))</x:f>
      </x:c>
      <x:c r="K45" s="2" t="str">
        <x:f>IF(A45="","",IF(G45="Cancelled","No charge",IF(J45=0,"Paid",IF(I45&gt;0,"Partial","Unpaid"))))</x:f>
      </x:c>
      <x:c r="L45" s="2" t="str">
        <x:f>IF(A45="","",IF(AND(G45="Completed",J45&gt;0),"Collect balance",IF(AND(G45="Scheduled",B45&lt;TODAY()),"Review overdue visit","")))</x:f>
      </x:c>
      <x:c r="M45" s="55"/>
      <x:c r="N45" s="2"/>
      <x:c r="O45" s="2"/>
      <x:c r="P45" s="2"/>
      <x:c r="Q45" s="2"/>
      <x:c r="R45" s="2"/>
      <x:c r="S45" s="2"/>
      <x:c r="T45" s="2"/>
      <x:c r="U45" s="2"/>
      <x:c r="V45" s="2"/>
      <x:c r="W45" s="2"/>
      <x:c r="X45" s="2"/>
      <x:c r="Y45" s="2"/>
      <x:c r="Z45" s="2"/>
    </x:row>
    <x:row r="46">
      <x:c r="A46" s="49"/>
      <x:c r="B46" s="58"/>
      <x:c r="C46" s="7"/>
      <x:c r="D46" s="7"/>
      <x:c r="E46" s="7"/>
      <x:c r="F46" s="7"/>
      <x:c r="G46" s="7"/>
      <x:c r="H46" s="63"/>
      <x:c r="I46" s="64"/>
      <x:c r="J46" s="62" t="str">
        <x:f>IF(A46="","",IF(G46="Cancelled",0,MAX(0,H46-I46)))</x:f>
      </x:c>
      <x:c r="K46" s="2" t="str">
        <x:f>IF(A46="","",IF(G46="Cancelled","No charge",IF(J46=0,"Paid",IF(I46&gt;0,"Partial","Unpaid"))))</x:f>
      </x:c>
      <x:c r="L46" s="2" t="str">
        <x:f>IF(A46="","",IF(AND(G46="Completed",J46&gt;0),"Collect balance",IF(AND(G46="Scheduled",B46&lt;TODAY()),"Review overdue visit","")))</x:f>
      </x:c>
      <x:c r="M46" s="55"/>
      <x:c r="N46" s="2"/>
      <x:c r="O46" s="2"/>
      <x:c r="P46" s="2"/>
      <x:c r="Q46" s="2"/>
      <x:c r="R46" s="2"/>
      <x:c r="S46" s="2"/>
      <x:c r="T46" s="2"/>
      <x:c r="U46" s="2"/>
      <x:c r="V46" s="2"/>
      <x:c r="W46" s="2"/>
      <x:c r="X46" s="2"/>
      <x:c r="Y46" s="2"/>
      <x:c r="Z46" s="2"/>
    </x:row>
    <x:row r="47">
      <x:c r="A47" s="49"/>
      <x:c r="B47" s="58"/>
      <x:c r="C47" s="7"/>
      <x:c r="D47" s="7"/>
      <x:c r="E47" s="7"/>
      <x:c r="F47" s="7"/>
      <x:c r="G47" s="7"/>
      <x:c r="H47" s="63"/>
      <x:c r="I47" s="64"/>
      <x:c r="J47" s="62" t="str">
        <x:f>IF(A47="","",IF(G47="Cancelled",0,MAX(0,H47-I47)))</x:f>
      </x:c>
      <x:c r="K47" s="2" t="str">
        <x:f>IF(A47="","",IF(G47="Cancelled","No charge",IF(J47=0,"Paid",IF(I47&gt;0,"Partial","Unpaid"))))</x:f>
      </x:c>
      <x:c r="L47" s="2" t="str">
        <x:f>IF(A47="","",IF(AND(G47="Completed",J47&gt;0),"Collect balance",IF(AND(G47="Scheduled",B47&lt;TODAY()),"Review overdue visit","")))</x:f>
      </x:c>
      <x:c r="M47" s="55"/>
      <x:c r="N47" s="2"/>
      <x:c r="O47" s="2"/>
      <x:c r="P47" s="2"/>
      <x:c r="Q47" s="2"/>
      <x:c r="R47" s="2"/>
      <x:c r="S47" s="2"/>
      <x:c r="T47" s="2"/>
      <x:c r="U47" s="2"/>
      <x:c r="V47" s="2"/>
      <x:c r="W47" s="2"/>
      <x:c r="X47" s="2"/>
      <x:c r="Y47" s="2"/>
      <x:c r="Z47" s="2"/>
    </x:row>
    <x:row r="48">
      <x:c r="A48" s="49"/>
      <x:c r="B48" s="58"/>
      <x:c r="C48" s="7"/>
      <x:c r="D48" s="7"/>
      <x:c r="E48" s="7"/>
      <x:c r="F48" s="7"/>
      <x:c r="G48" s="7"/>
      <x:c r="H48" s="63"/>
      <x:c r="I48" s="64"/>
      <x:c r="J48" s="62" t="str">
        <x:f>IF(A48="","",IF(G48="Cancelled",0,MAX(0,H48-I48)))</x:f>
      </x:c>
      <x:c r="K48" s="2" t="str">
        <x:f>IF(A48="","",IF(G48="Cancelled","No charge",IF(J48=0,"Paid",IF(I48&gt;0,"Partial","Unpaid"))))</x:f>
      </x:c>
      <x:c r="L48" s="2" t="str">
        <x:f>IF(A48="","",IF(AND(G48="Completed",J48&gt;0),"Collect balance",IF(AND(G48="Scheduled",B48&lt;TODAY()),"Review overdue visit","")))</x:f>
      </x:c>
      <x:c r="M48" s="55"/>
      <x:c r="N48" s="2"/>
      <x:c r="O48" s="2"/>
      <x:c r="P48" s="2"/>
      <x:c r="Q48" s="2"/>
      <x:c r="R48" s="2"/>
      <x:c r="S48" s="2"/>
      <x:c r="T48" s="2"/>
      <x:c r="U48" s="2"/>
      <x:c r="V48" s="2"/>
      <x:c r="W48" s="2"/>
      <x:c r="X48" s="2"/>
      <x:c r="Y48" s="2"/>
      <x:c r="Z48" s="2"/>
    </x:row>
    <x:row r="49">
      <x:c r="A49" s="49"/>
      <x:c r="B49" s="58"/>
      <x:c r="C49" s="7"/>
      <x:c r="D49" s="7"/>
      <x:c r="E49" s="7"/>
      <x:c r="F49" s="7"/>
      <x:c r="G49" s="7"/>
      <x:c r="H49" s="63"/>
      <x:c r="I49" s="64"/>
      <x:c r="J49" s="62" t="str">
        <x:f>IF(A49="","",IF(G49="Cancelled",0,MAX(0,H49-I49)))</x:f>
      </x:c>
      <x:c r="K49" s="2" t="str">
        <x:f>IF(A49="","",IF(G49="Cancelled","No charge",IF(J49=0,"Paid",IF(I49&gt;0,"Partial","Unpaid"))))</x:f>
      </x:c>
      <x:c r="L49" s="2" t="str">
        <x:f>IF(A49="","",IF(AND(G49="Completed",J49&gt;0),"Collect balance",IF(AND(G49="Scheduled",B49&lt;TODAY()),"Review overdue visit","")))</x:f>
      </x:c>
      <x:c r="M49" s="55"/>
      <x:c r="N49" s="2"/>
      <x:c r="O49" s="2"/>
      <x:c r="P49" s="2"/>
      <x:c r="Q49" s="2"/>
      <x:c r="R49" s="2"/>
      <x:c r="S49" s="2"/>
      <x:c r="T49" s="2"/>
      <x:c r="U49" s="2"/>
      <x:c r="V49" s="2"/>
      <x:c r="W49" s="2"/>
      <x:c r="X49" s="2"/>
      <x:c r="Y49" s="2"/>
      <x:c r="Z49" s="2"/>
    </x:row>
    <x:row r="50">
      <x:c r="A50" s="49"/>
      <x:c r="B50" s="58"/>
      <x:c r="C50" s="7"/>
      <x:c r="D50" s="7"/>
      <x:c r="E50" s="7"/>
      <x:c r="F50" s="7"/>
      <x:c r="G50" s="7"/>
      <x:c r="H50" s="63"/>
      <x:c r="I50" s="64"/>
      <x:c r="J50" s="62" t="str">
        <x:f>IF(A50="","",IF(G50="Cancelled",0,MAX(0,H50-I50)))</x:f>
      </x:c>
      <x:c r="K50" s="2" t="str">
        <x:f>IF(A50="","",IF(G50="Cancelled","No charge",IF(J50=0,"Paid",IF(I50&gt;0,"Partial","Unpaid"))))</x:f>
      </x:c>
      <x:c r="L50" s="2" t="str">
        <x:f>IF(A50="","",IF(AND(G50="Completed",J50&gt;0),"Collect balance",IF(AND(G50="Scheduled",B50&lt;TODAY()),"Review overdue visit","")))</x:f>
      </x:c>
      <x:c r="M50" s="55"/>
      <x:c r="N50" s="2"/>
      <x:c r="O50" s="2"/>
      <x:c r="P50" s="2"/>
      <x:c r="Q50" s="2"/>
      <x:c r="R50" s="2"/>
      <x:c r="S50" s="2"/>
      <x:c r="T50" s="2"/>
      <x:c r="U50" s="2"/>
      <x:c r="V50" s="2"/>
      <x:c r="W50" s="2"/>
      <x:c r="X50" s="2"/>
      <x:c r="Y50" s="2"/>
      <x:c r="Z50" s="2"/>
    </x:row>
    <x:row r="51">
      <x:c r="A51" s="49"/>
      <x:c r="B51" s="58"/>
      <x:c r="C51" s="7"/>
      <x:c r="D51" s="7"/>
      <x:c r="E51" s="7"/>
      <x:c r="F51" s="7"/>
      <x:c r="G51" s="7"/>
      <x:c r="H51" s="63"/>
      <x:c r="I51" s="64"/>
      <x:c r="J51" s="62" t="str">
        <x:f>IF(A51="","",IF(G51="Cancelled",0,MAX(0,H51-I51)))</x:f>
      </x:c>
      <x:c r="K51" s="2" t="str">
        <x:f>IF(A51="","",IF(G51="Cancelled","No charge",IF(J51=0,"Paid",IF(I51&gt;0,"Partial","Unpaid"))))</x:f>
      </x:c>
      <x:c r="L51" s="2" t="str">
        <x:f>IF(A51="","",IF(AND(G51="Completed",J51&gt;0),"Collect balance",IF(AND(G51="Scheduled",B51&lt;TODAY()),"Review overdue visit","")))</x:f>
      </x:c>
      <x:c r="M51" s="55"/>
      <x:c r="N51" s="2"/>
      <x:c r="O51" s="2"/>
      <x:c r="P51" s="2"/>
      <x:c r="Q51" s="2"/>
      <x:c r="R51" s="2"/>
      <x:c r="S51" s="2"/>
      <x:c r="T51" s="2"/>
      <x:c r="U51" s="2"/>
      <x:c r="V51" s="2"/>
      <x:c r="W51" s="2"/>
      <x:c r="X51" s="2"/>
      <x:c r="Y51" s="2"/>
      <x:c r="Z51" s="2"/>
    </x:row>
    <x:row r="52">
      <x:c r="A52" s="49"/>
      <x:c r="B52" s="58"/>
      <x:c r="C52" s="7"/>
      <x:c r="D52" s="7"/>
      <x:c r="E52" s="7"/>
      <x:c r="F52" s="7"/>
      <x:c r="G52" s="7"/>
      <x:c r="H52" s="63"/>
      <x:c r="I52" s="64"/>
      <x:c r="J52" s="62" t="str">
        <x:f>IF(A52="","",IF(G52="Cancelled",0,MAX(0,H52-I52)))</x:f>
      </x:c>
      <x:c r="K52" s="2" t="str">
        <x:f>IF(A52="","",IF(G52="Cancelled","No charge",IF(J52=0,"Paid",IF(I52&gt;0,"Partial","Unpaid"))))</x:f>
      </x:c>
      <x:c r="L52" s="2" t="str">
        <x:f>IF(A52="","",IF(AND(G52="Completed",J52&gt;0),"Collect balance",IF(AND(G52="Scheduled",B52&lt;TODAY()),"Review overdue visit","")))</x:f>
      </x:c>
      <x:c r="M52" s="55"/>
      <x:c r="N52" s="2"/>
      <x:c r="O52" s="2"/>
      <x:c r="P52" s="2"/>
      <x:c r="Q52" s="2"/>
      <x:c r="R52" s="2"/>
      <x:c r="S52" s="2"/>
      <x:c r="T52" s="2"/>
      <x:c r="U52" s="2"/>
      <x:c r="V52" s="2"/>
      <x:c r="W52" s="2"/>
      <x:c r="X52" s="2"/>
      <x:c r="Y52" s="2"/>
      <x:c r="Z52" s="2"/>
    </x:row>
    <x:row r="53">
      <x:c r="A53" s="49"/>
      <x:c r="B53" s="58"/>
      <x:c r="C53" s="7"/>
      <x:c r="D53" s="7"/>
      <x:c r="E53" s="7"/>
      <x:c r="F53" s="7"/>
      <x:c r="G53" s="7"/>
      <x:c r="H53" s="63"/>
      <x:c r="I53" s="64"/>
      <x:c r="J53" s="62" t="str">
        <x:f>IF(A53="","",IF(G53="Cancelled",0,MAX(0,H53-I53)))</x:f>
      </x:c>
      <x:c r="K53" s="2" t="str">
        <x:f>IF(A53="","",IF(G53="Cancelled","No charge",IF(J53=0,"Paid",IF(I53&gt;0,"Partial","Unpaid"))))</x:f>
      </x:c>
      <x:c r="L53" s="2" t="str">
        <x:f>IF(A53="","",IF(AND(G53="Completed",J53&gt;0),"Collect balance",IF(AND(G53="Scheduled",B53&lt;TODAY()),"Review overdue visit","")))</x:f>
      </x:c>
      <x:c r="M53" s="55"/>
      <x:c r="N53" s="2"/>
      <x:c r="O53" s="2"/>
      <x:c r="P53" s="2"/>
      <x:c r="Q53" s="2"/>
      <x:c r="R53" s="2"/>
      <x:c r="S53" s="2"/>
      <x:c r="T53" s="2"/>
      <x:c r="U53" s="2"/>
      <x:c r="V53" s="2"/>
      <x:c r="W53" s="2"/>
      <x:c r="X53" s="2"/>
      <x:c r="Y53" s="2"/>
      <x:c r="Z53" s="2"/>
    </x:row>
    <x:row r="54">
      <x:c r="A54" s="49"/>
      <x:c r="B54" s="58"/>
      <x:c r="C54" s="7"/>
      <x:c r="D54" s="7"/>
      <x:c r="E54" s="7"/>
      <x:c r="F54" s="7"/>
      <x:c r="G54" s="7"/>
      <x:c r="H54" s="63"/>
      <x:c r="I54" s="64"/>
      <x:c r="J54" s="62" t="str">
        <x:f>IF(A54="","",IF(G54="Cancelled",0,MAX(0,H54-I54)))</x:f>
      </x:c>
      <x:c r="K54" s="2" t="str">
        <x:f>IF(A54="","",IF(G54="Cancelled","No charge",IF(J54=0,"Paid",IF(I54&gt;0,"Partial","Unpaid"))))</x:f>
      </x:c>
      <x:c r="L54" s="2" t="str">
        <x:f>IF(A54="","",IF(AND(G54="Completed",J54&gt;0),"Collect balance",IF(AND(G54="Scheduled",B54&lt;TODAY()),"Review overdue visit","")))</x:f>
      </x:c>
      <x:c r="M54" s="55"/>
      <x:c r="N54" s="2"/>
      <x:c r="O54" s="2"/>
      <x:c r="P54" s="2"/>
      <x:c r="Q54" s="2"/>
      <x:c r="R54" s="2"/>
      <x:c r="S54" s="2"/>
      <x:c r="T54" s="2"/>
      <x:c r="U54" s="2"/>
      <x:c r="V54" s="2"/>
      <x:c r="W54" s="2"/>
      <x:c r="X54" s="2"/>
      <x:c r="Y54" s="2"/>
      <x:c r="Z54" s="2"/>
    </x:row>
    <x:row r="55">
      <x:c r="A55" s="49"/>
      <x:c r="B55" s="58"/>
      <x:c r="C55" s="7"/>
      <x:c r="D55" s="7"/>
      <x:c r="E55" s="7"/>
      <x:c r="F55" s="7"/>
      <x:c r="G55" s="7"/>
      <x:c r="H55" s="63"/>
      <x:c r="I55" s="64"/>
      <x:c r="J55" s="62" t="str">
        <x:f>IF(A55="","",IF(G55="Cancelled",0,MAX(0,H55-I55)))</x:f>
      </x:c>
      <x:c r="K55" s="2" t="str">
        <x:f>IF(A55="","",IF(G55="Cancelled","No charge",IF(J55=0,"Paid",IF(I55&gt;0,"Partial","Unpaid"))))</x:f>
      </x:c>
      <x:c r="L55" s="2" t="str">
        <x:f>IF(A55="","",IF(AND(G55="Completed",J55&gt;0),"Collect balance",IF(AND(G55="Scheduled",B55&lt;TODAY()),"Review overdue visit","")))</x:f>
      </x:c>
      <x:c r="M55" s="55"/>
      <x:c r="N55" s="2"/>
      <x:c r="O55" s="2"/>
      <x:c r="P55" s="2"/>
      <x:c r="Q55" s="2"/>
      <x:c r="R55" s="2"/>
      <x:c r="S55" s="2"/>
      <x:c r="T55" s="2"/>
      <x:c r="U55" s="2"/>
      <x:c r="V55" s="2"/>
      <x:c r="W55" s="2"/>
      <x:c r="X55" s="2"/>
      <x:c r="Y55" s="2"/>
      <x:c r="Z55" s="2"/>
    </x:row>
    <x:row r="56">
      <x:c r="A56" s="49"/>
      <x:c r="B56" s="58"/>
      <x:c r="C56" s="7"/>
      <x:c r="D56" s="7"/>
      <x:c r="E56" s="7"/>
      <x:c r="F56" s="7"/>
      <x:c r="G56" s="7"/>
      <x:c r="H56" s="63"/>
      <x:c r="I56" s="64"/>
      <x:c r="J56" s="62" t="str">
        <x:f>IF(A56="","",IF(G56="Cancelled",0,MAX(0,H56-I56)))</x:f>
      </x:c>
      <x:c r="K56" s="2" t="str">
        <x:f>IF(A56="","",IF(G56="Cancelled","No charge",IF(J56=0,"Paid",IF(I56&gt;0,"Partial","Unpaid"))))</x:f>
      </x:c>
      <x:c r="L56" s="2" t="str">
        <x:f>IF(A56="","",IF(AND(G56="Completed",J56&gt;0),"Collect balance",IF(AND(G56="Scheduled",B56&lt;TODAY()),"Review overdue visit","")))</x:f>
      </x:c>
      <x:c r="M56" s="55"/>
      <x:c r="N56" s="2"/>
      <x:c r="O56" s="2"/>
      <x:c r="P56" s="2"/>
      <x:c r="Q56" s="2"/>
      <x:c r="R56" s="2"/>
      <x:c r="S56" s="2"/>
      <x:c r="T56" s="2"/>
      <x:c r="U56" s="2"/>
      <x:c r="V56" s="2"/>
      <x:c r="W56" s="2"/>
      <x:c r="X56" s="2"/>
      <x:c r="Y56" s="2"/>
      <x:c r="Z56" s="2"/>
    </x:row>
    <x:row r="57">
      <x:c r="A57" s="49"/>
      <x:c r="B57" s="58"/>
      <x:c r="C57" s="7"/>
      <x:c r="D57" s="7"/>
      <x:c r="E57" s="7"/>
      <x:c r="F57" s="7"/>
      <x:c r="G57" s="7"/>
      <x:c r="H57" s="63"/>
      <x:c r="I57" s="64"/>
      <x:c r="J57" s="62" t="str">
        <x:f>IF(A57="","",IF(G57="Cancelled",0,MAX(0,H57-I57)))</x:f>
      </x:c>
      <x:c r="K57" s="2" t="str">
        <x:f>IF(A57="","",IF(G57="Cancelled","No charge",IF(J57=0,"Paid",IF(I57&gt;0,"Partial","Unpaid"))))</x:f>
      </x:c>
      <x:c r="L57" s="2" t="str">
        <x:f>IF(A57="","",IF(AND(G57="Completed",J57&gt;0),"Collect balance",IF(AND(G57="Scheduled",B57&lt;TODAY()),"Review overdue visit","")))</x:f>
      </x:c>
      <x:c r="M57" s="55"/>
      <x:c r="N57" s="2"/>
      <x:c r="O57" s="2"/>
      <x:c r="P57" s="2"/>
      <x:c r="Q57" s="2"/>
      <x:c r="R57" s="2"/>
      <x:c r="S57" s="2"/>
      <x:c r="T57" s="2"/>
      <x:c r="U57" s="2"/>
      <x:c r="V57" s="2"/>
      <x:c r="W57" s="2"/>
      <x:c r="X57" s="2"/>
      <x:c r="Y57" s="2"/>
      <x:c r="Z57" s="2"/>
    </x:row>
    <x:row r="58">
      <x:c r="A58" s="49"/>
      <x:c r="B58" s="58"/>
      <x:c r="C58" s="7"/>
      <x:c r="D58" s="7"/>
      <x:c r="E58" s="7"/>
      <x:c r="F58" s="7"/>
      <x:c r="G58" s="7"/>
      <x:c r="H58" s="63"/>
      <x:c r="I58" s="64"/>
      <x:c r="J58" s="62" t="str">
        <x:f>IF(A58="","",IF(G58="Cancelled",0,MAX(0,H58-I58)))</x:f>
      </x:c>
      <x:c r="K58" s="2" t="str">
        <x:f>IF(A58="","",IF(G58="Cancelled","No charge",IF(J58=0,"Paid",IF(I58&gt;0,"Partial","Unpaid"))))</x:f>
      </x:c>
      <x:c r="L58" s="2" t="str">
        <x:f>IF(A58="","",IF(AND(G58="Completed",J58&gt;0),"Collect balance",IF(AND(G58="Scheduled",B58&lt;TODAY()),"Review overdue visit","")))</x:f>
      </x:c>
      <x:c r="M58" s="55"/>
      <x:c r="N58" s="2"/>
      <x:c r="O58" s="2"/>
      <x:c r="P58" s="2"/>
      <x:c r="Q58" s="2"/>
      <x:c r="R58" s="2"/>
      <x:c r="S58" s="2"/>
      <x:c r="T58" s="2"/>
      <x:c r="U58" s="2"/>
      <x:c r="V58" s="2"/>
      <x:c r="W58" s="2"/>
      <x:c r="X58" s="2"/>
      <x:c r="Y58" s="2"/>
      <x:c r="Z58" s="2"/>
    </x:row>
    <x:row r="59">
      <x:c r="A59" s="49"/>
      <x:c r="B59" s="58"/>
      <x:c r="C59" s="7"/>
      <x:c r="D59" s="7"/>
      <x:c r="E59" s="7"/>
      <x:c r="F59" s="7"/>
      <x:c r="G59" s="7"/>
      <x:c r="H59" s="63"/>
      <x:c r="I59" s="64"/>
      <x:c r="J59" s="62" t="str">
        <x:f>IF(A59="","",IF(G59="Cancelled",0,MAX(0,H59-I59)))</x:f>
      </x:c>
      <x:c r="K59" s="2" t="str">
        <x:f>IF(A59="","",IF(G59="Cancelled","No charge",IF(J59=0,"Paid",IF(I59&gt;0,"Partial","Unpaid"))))</x:f>
      </x:c>
      <x:c r="L59" s="2" t="str">
        <x:f>IF(A59="","",IF(AND(G59="Completed",J59&gt;0),"Collect balance",IF(AND(G59="Scheduled",B59&lt;TODAY()),"Review overdue visit","")))</x:f>
      </x:c>
      <x:c r="M59" s="55"/>
      <x:c r="N59" s="2"/>
      <x:c r="O59" s="2"/>
      <x:c r="P59" s="2"/>
      <x:c r="Q59" s="2"/>
      <x:c r="R59" s="2"/>
      <x:c r="S59" s="2"/>
      <x:c r="T59" s="2"/>
      <x:c r="U59" s="2"/>
      <x:c r="V59" s="2"/>
      <x:c r="W59" s="2"/>
      <x:c r="X59" s="2"/>
      <x:c r="Y59" s="2"/>
      <x:c r="Z59" s="2"/>
    </x:row>
    <x:row r="60">
      <x:c r="A60" s="49"/>
      <x:c r="B60" s="58"/>
      <x:c r="C60" s="7"/>
      <x:c r="D60" s="7"/>
      <x:c r="E60" s="7"/>
      <x:c r="F60" s="7"/>
      <x:c r="G60" s="7"/>
      <x:c r="H60" s="63"/>
      <x:c r="I60" s="64"/>
      <x:c r="J60" s="62" t="str">
        <x:f>IF(A60="","",IF(G60="Cancelled",0,MAX(0,H60-I60)))</x:f>
      </x:c>
      <x:c r="K60" s="2" t="str">
        <x:f>IF(A60="","",IF(G60="Cancelled","No charge",IF(J60=0,"Paid",IF(I60&gt;0,"Partial","Unpaid"))))</x:f>
      </x:c>
      <x:c r="L60" s="2" t="str">
        <x:f>IF(A60="","",IF(AND(G60="Completed",J60&gt;0),"Collect balance",IF(AND(G60="Scheduled",B60&lt;TODAY()),"Review overdue visit","")))</x:f>
      </x:c>
      <x:c r="M60" s="55"/>
      <x:c r="N60" s="2"/>
      <x:c r="O60" s="2"/>
      <x:c r="P60" s="2"/>
      <x:c r="Q60" s="2"/>
      <x:c r="R60" s="2"/>
      <x:c r="S60" s="2"/>
      <x:c r="T60" s="2"/>
      <x:c r="U60" s="2"/>
      <x:c r="V60" s="2"/>
      <x:c r="W60" s="2"/>
      <x:c r="X60" s="2"/>
      <x:c r="Y60" s="2"/>
      <x:c r="Z60" s="2"/>
    </x:row>
    <x:row r="61">
      <x:c r="A61" s="49"/>
      <x:c r="B61" s="58"/>
      <x:c r="C61" s="7"/>
      <x:c r="D61" s="7"/>
      <x:c r="E61" s="7"/>
      <x:c r="F61" s="7"/>
      <x:c r="G61" s="7"/>
      <x:c r="H61" s="63"/>
      <x:c r="I61" s="64"/>
      <x:c r="J61" s="62" t="str">
        <x:f>IF(A61="","",IF(G61="Cancelled",0,MAX(0,H61-I61)))</x:f>
      </x:c>
      <x:c r="K61" s="2" t="str">
        <x:f>IF(A61="","",IF(G61="Cancelled","No charge",IF(J61=0,"Paid",IF(I61&gt;0,"Partial","Unpaid"))))</x:f>
      </x:c>
      <x:c r="L61" s="2" t="str">
        <x:f>IF(A61="","",IF(AND(G61="Completed",J61&gt;0),"Collect balance",IF(AND(G61="Scheduled",B61&lt;TODAY()),"Review overdue visit","")))</x:f>
      </x:c>
      <x:c r="M61" s="55"/>
      <x:c r="N61" s="2"/>
      <x:c r="O61" s="2"/>
      <x:c r="P61" s="2"/>
      <x:c r="Q61" s="2"/>
      <x:c r="R61" s="2"/>
      <x:c r="S61" s="2"/>
      <x:c r="T61" s="2"/>
      <x:c r="U61" s="2"/>
      <x:c r="V61" s="2"/>
      <x:c r="W61" s="2"/>
      <x:c r="X61" s="2"/>
      <x:c r="Y61" s="2"/>
      <x:c r="Z61" s="2"/>
    </x:row>
    <x:row r="62">
      <x:c r="A62" s="49"/>
      <x:c r="B62" s="58"/>
      <x:c r="C62" s="7"/>
      <x:c r="D62" s="7"/>
      <x:c r="E62" s="7"/>
      <x:c r="F62" s="7"/>
      <x:c r="G62" s="7"/>
      <x:c r="H62" s="63"/>
      <x:c r="I62" s="64"/>
      <x:c r="J62" s="62" t="str">
        <x:f>IF(A62="","",IF(G62="Cancelled",0,MAX(0,H62-I62)))</x:f>
      </x:c>
      <x:c r="K62" s="2" t="str">
        <x:f>IF(A62="","",IF(G62="Cancelled","No charge",IF(J62=0,"Paid",IF(I62&gt;0,"Partial","Unpaid"))))</x:f>
      </x:c>
      <x:c r="L62" s="2" t="str">
        <x:f>IF(A62="","",IF(AND(G62="Completed",J62&gt;0),"Collect balance",IF(AND(G62="Scheduled",B62&lt;TODAY()),"Review overdue visit","")))</x:f>
      </x:c>
      <x:c r="M62" s="55"/>
      <x:c r="N62" s="2"/>
      <x:c r="O62" s="2"/>
      <x:c r="P62" s="2"/>
      <x:c r="Q62" s="2"/>
      <x:c r="R62" s="2"/>
      <x:c r="S62" s="2"/>
      <x:c r="T62" s="2"/>
      <x:c r="U62" s="2"/>
      <x:c r="V62" s="2"/>
      <x:c r="W62" s="2"/>
      <x:c r="X62" s="2"/>
      <x:c r="Y62" s="2"/>
      <x:c r="Z62" s="2"/>
    </x:row>
    <x:row r="63">
      <x:c r="A63" s="49"/>
      <x:c r="B63" s="58"/>
      <x:c r="C63" s="7"/>
      <x:c r="D63" s="7"/>
      <x:c r="E63" s="7"/>
      <x:c r="F63" s="7"/>
      <x:c r="G63" s="7"/>
      <x:c r="H63" s="63"/>
      <x:c r="I63" s="64"/>
      <x:c r="J63" s="62" t="str">
        <x:f>IF(A63="","",IF(G63="Cancelled",0,MAX(0,H63-I63)))</x:f>
      </x:c>
      <x:c r="K63" s="2" t="str">
        <x:f>IF(A63="","",IF(G63="Cancelled","No charge",IF(J63=0,"Paid",IF(I63&gt;0,"Partial","Unpaid"))))</x:f>
      </x:c>
      <x:c r="L63" s="2" t="str">
        <x:f>IF(A63="","",IF(AND(G63="Completed",J63&gt;0),"Collect balance",IF(AND(G63="Scheduled",B63&lt;TODAY()),"Review overdue visit","")))</x:f>
      </x:c>
      <x:c r="M63" s="55"/>
      <x:c r="N63" s="2"/>
      <x:c r="O63" s="2"/>
      <x:c r="P63" s="2"/>
      <x:c r="Q63" s="2"/>
      <x:c r="R63" s="2"/>
      <x:c r="S63" s="2"/>
      <x:c r="T63" s="2"/>
      <x:c r="U63" s="2"/>
      <x:c r="V63" s="2"/>
      <x:c r="W63" s="2"/>
      <x:c r="X63" s="2"/>
      <x:c r="Y63" s="2"/>
      <x:c r="Z63" s="2"/>
    </x:row>
    <x:row r="64">
      <x:c r="A64" s="49"/>
      <x:c r="B64" s="58"/>
      <x:c r="C64" s="7"/>
      <x:c r="D64" s="7"/>
      <x:c r="E64" s="7"/>
      <x:c r="F64" s="7"/>
      <x:c r="G64" s="7"/>
      <x:c r="H64" s="63"/>
      <x:c r="I64" s="64"/>
      <x:c r="J64" s="62" t="str">
        <x:f>IF(A64="","",IF(G64="Cancelled",0,MAX(0,H64-I64)))</x:f>
      </x:c>
      <x:c r="K64" s="2" t="str">
        <x:f>IF(A64="","",IF(G64="Cancelled","No charge",IF(J64=0,"Paid",IF(I64&gt;0,"Partial","Unpaid"))))</x:f>
      </x:c>
      <x:c r="L64" s="2" t="str">
        <x:f>IF(A64="","",IF(AND(G64="Completed",J64&gt;0),"Collect balance",IF(AND(G64="Scheduled",B64&lt;TODAY()),"Review overdue visit","")))</x:f>
      </x:c>
      <x:c r="M64" s="55"/>
      <x:c r="N64" s="2"/>
      <x:c r="O64" s="2"/>
      <x:c r="P64" s="2"/>
      <x:c r="Q64" s="2"/>
      <x:c r="R64" s="2"/>
      <x:c r="S64" s="2"/>
      <x:c r="T64" s="2"/>
      <x:c r="U64" s="2"/>
      <x:c r="V64" s="2"/>
      <x:c r="W64" s="2"/>
      <x:c r="X64" s="2"/>
      <x:c r="Y64" s="2"/>
      <x:c r="Z64" s="2"/>
    </x:row>
    <x:row r="65">
      <x:c r="A65" s="49"/>
      <x:c r="B65" s="58"/>
      <x:c r="C65" s="7"/>
      <x:c r="D65" s="7"/>
      <x:c r="E65" s="7"/>
      <x:c r="F65" s="7"/>
      <x:c r="G65" s="7"/>
      <x:c r="H65" s="63"/>
      <x:c r="I65" s="64"/>
      <x:c r="J65" s="62" t="str">
        <x:f>IF(A65="","",IF(G65="Cancelled",0,MAX(0,H65-I65)))</x:f>
      </x:c>
      <x:c r="K65" s="2" t="str">
        <x:f>IF(A65="","",IF(G65="Cancelled","No charge",IF(J65=0,"Paid",IF(I65&gt;0,"Partial","Unpaid"))))</x:f>
      </x:c>
      <x:c r="L65" s="2" t="str">
        <x:f>IF(A65="","",IF(AND(G65="Completed",J65&gt;0),"Collect balance",IF(AND(G65="Scheduled",B65&lt;TODAY()),"Review overdue visit","")))</x:f>
      </x:c>
      <x:c r="M65" s="55"/>
      <x:c r="N65" s="2"/>
      <x:c r="O65" s="2"/>
      <x:c r="P65" s="2"/>
      <x:c r="Q65" s="2"/>
      <x:c r="R65" s="2"/>
      <x:c r="S65" s="2"/>
      <x:c r="T65" s="2"/>
      <x:c r="U65" s="2"/>
      <x:c r="V65" s="2"/>
      <x:c r="W65" s="2"/>
      <x:c r="X65" s="2"/>
      <x:c r="Y65" s="2"/>
      <x:c r="Z65" s="2"/>
    </x:row>
    <x:row r="66">
      <x:c r="A66" s="49"/>
      <x:c r="B66" s="58"/>
      <x:c r="C66" s="7"/>
      <x:c r="D66" s="7"/>
      <x:c r="E66" s="7"/>
      <x:c r="F66" s="7"/>
      <x:c r="G66" s="7"/>
      <x:c r="H66" s="63"/>
      <x:c r="I66" s="64"/>
      <x:c r="J66" s="62" t="str">
        <x:f>IF(A66="","",IF(G66="Cancelled",0,MAX(0,H66-I66)))</x:f>
      </x:c>
      <x:c r="K66" s="2" t="str">
        <x:f>IF(A66="","",IF(G66="Cancelled","No charge",IF(J66=0,"Paid",IF(I66&gt;0,"Partial","Unpaid"))))</x:f>
      </x:c>
      <x:c r="L66" s="2" t="str">
        <x:f>IF(A66="","",IF(AND(G66="Completed",J66&gt;0),"Collect balance",IF(AND(G66="Scheduled",B66&lt;TODAY()),"Review overdue visit","")))</x:f>
      </x:c>
      <x:c r="M66" s="55"/>
      <x:c r="N66" s="2"/>
      <x:c r="O66" s="2"/>
      <x:c r="P66" s="2"/>
      <x:c r="Q66" s="2"/>
      <x:c r="R66" s="2"/>
      <x:c r="S66" s="2"/>
      <x:c r="T66" s="2"/>
      <x:c r="U66" s="2"/>
      <x:c r="V66" s="2"/>
      <x:c r="W66" s="2"/>
      <x:c r="X66" s="2"/>
      <x:c r="Y66" s="2"/>
      <x:c r="Z66" s="2"/>
    </x:row>
    <x:row r="67">
      <x:c r="A67" s="49"/>
      <x:c r="B67" s="58"/>
      <x:c r="C67" s="7"/>
      <x:c r="D67" s="7"/>
      <x:c r="E67" s="7"/>
      <x:c r="F67" s="7"/>
      <x:c r="G67" s="7"/>
      <x:c r="H67" s="63"/>
      <x:c r="I67" s="64"/>
      <x:c r="J67" s="62" t="str">
        <x:f>IF(A67="","",IF(G67="Cancelled",0,MAX(0,H67-I67)))</x:f>
      </x:c>
      <x:c r="K67" s="2" t="str">
        <x:f>IF(A67="","",IF(G67="Cancelled","No charge",IF(J67=0,"Paid",IF(I67&gt;0,"Partial","Unpaid"))))</x:f>
      </x:c>
      <x:c r="L67" s="2" t="str">
        <x:f>IF(A67="","",IF(AND(G67="Completed",J67&gt;0),"Collect balance",IF(AND(G67="Scheduled",B67&lt;TODAY()),"Review overdue visit","")))</x:f>
      </x:c>
      <x:c r="M67" s="55"/>
      <x:c r="N67" s="2"/>
      <x:c r="O67" s="2"/>
      <x:c r="P67" s="2"/>
      <x:c r="Q67" s="2"/>
      <x:c r="R67" s="2"/>
      <x:c r="S67" s="2"/>
      <x:c r="T67" s="2"/>
      <x:c r="U67" s="2"/>
      <x:c r="V67" s="2"/>
      <x:c r="W67" s="2"/>
      <x:c r="X67" s="2"/>
      <x:c r="Y67" s="2"/>
      <x:c r="Z67" s="2"/>
    </x:row>
    <x:row r="68">
      <x:c r="A68" s="49"/>
      <x:c r="B68" s="58"/>
      <x:c r="C68" s="7"/>
      <x:c r="D68" s="7"/>
      <x:c r="E68" s="7"/>
      <x:c r="F68" s="7"/>
      <x:c r="G68" s="7"/>
      <x:c r="H68" s="63"/>
      <x:c r="I68" s="64"/>
      <x:c r="J68" s="62" t="str">
        <x:f>IF(A68="","",IF(G68="Cancelled",0,MAX(0,H68-I68)))</x:f>
      </x:c>
      <x:c r="K68" s="2" t="str">
        <x:f>IF(A68="","",IF(G68="Cancelled","No charge",IF(J68=0,"Paid",IF(I68&gt;0,"Partial","Unpaid"))))</x:f>
      </x:c>
      <x:c r="L68" s="2" t="str">
        <x:f>IF(A68="","",IF(AND(G68="Completed",J68&gt;0),"Collect balance",IF(AND(G68="Scheduled",B68&lt;TODAY()),"Review overdue visit","")))</x:f>
      </x:c>
      <x:c r="M68" s="55"/>
      <x:c r="N68" s="2"/>
      <x:c r="O68" s="2"/>
      <x:c r="P68" s="2"/>
      <x:c r="Q68" s="2"/>
      <x:c r="R68" s="2"/>
      <x:c r="S68" s="2"/>
      <x:c r="T68" s="2"/>
      <x:c r="U68" s="2"/>
      <x:c r="V68" s="2"/>
      <x:c r="W68" s="2"/>
      <x:c r="X68" s="2"/>
      <x:c r="Y68" s="2"/>
      <x:c r="Z68" s="2"/>
    </x:row>
    <x:row r="69">
      <x:c r="A69" s="49"/>
      <x:c r="B69" s="58"/>
      <x:c r="C69" s="7"/>
      <x:c r="D69" s="7"/>
      <x:c r="E69" s="7"/>
      <x:c r="F69" s="7"/>
      <x:c r="G69" s="7"/>
      <x:c r="H69" s="63"/>
      <x:c r="I69" s="64"/>
      <x:c r="J69" s="62" t="str">
        <x:f>IF(A69="","",IF(G69="Cancelled",0,MAX(0,H69-I69)))</x:f>
      </x:c>
      <x:c r="K69" s="2" t="str">
        <x:f>IF(A69="","",IF(G69="Cancelled","No charge",IF(J69=0,"Paid",IF(I69&gt;0,"Partial","Unpaid"))))</x:f>
      </x:c>
      <x:c r="L69" s="2" t="str">
        <x:f>IF(A69="","",IF(AND(G69="Completed",J69&gt;0),"Collect balance",IF(AND(G69="Scheduled",B69&lt;TODAY()),"Review overdue visit","")))</x:f>
      </x:c>
      <x:c r="M69" s="55"/>
      <x:c r="N69" s="2"/>
      <x:c r="O69" s="2"/>
      <x:c r="P69" s="2"/>
      <x:c r="Q69" s="2"/>
      <x:c r="R69" s="2"/>
      <x:c r="S69" s="2"/>
      <x:c r="T69" s="2"/>
      <x:c r="U69" s="2"/>
      <x:c r="V69" s="2"/>
      <x:c r="W69" s="2"/>
      <x:c r="X69" s="2"/>
      <x:c r="Y69" s="2"/>
      <x:c r="Z69" s="2"/>
    </x:row>
    <x:row r="70">
      <x:c r="A70" s="49"/>
      <x:c r="B70" s="58"/>
      <x:c r="C70" s="7"/>
      <x:c r="D70" s="7"/>
      <x:c r="E70" s="7"/>
      <x:c r="F70" s="7"/>
      <x:c r="G70" s="7"/>
      <x:c r="H70" s="63"/>
      <x:c r="I70" s="64"/>
      <x:c r="J70" s="62" t="str">
        <x:f>IF(A70="","",IF(G70="Cancelled",0,MAX(0,H70-I70)))</x:f>
      </x:c>
      <x:c r="K70" s="2" t="str">
        <x:f>IF(A70="","",IF(G70="Cancelled","No charge",IF(J70=0,"Paid",IF(I70&gt;0,"Partial","Unpaid"))))</x:f>
      </x:c>
      <x:c r="L70" s="2" t="str">
        <x:f>IF(A70="","",IF(AND(G70="Completed",J70&gt;0),"Collect balance",IF(AND(G70="Scheduled",B70&lt;TODAY()),"Review overdue visit","")))</x:f>
      </x:c>
      <x:c r="M70" s="55"/>
      <x:c r="N70" s="2"/>
      <x:c r="O70" s="2"/>
      <x:c r="P70" s="2"/>
      <x:c r="Q70" s="2"/>
      <x:c r="R70" s="2"/>
      <x:c r="S70" s="2"/>
      <x:c r="T70" s="2"/>
      <x:c r="U70" s="2"/>
      <x:c r="V70" s="2"/>
      <x:c r="W70" s="2"/>
      <x:c r="X70" s="2"/>
      <x:c r="Y70" s="2"/>
      <x:c r="Z70" s="2"/>
    </x:row>
    <x:row r="71">
      <x:c r="A71" s="49"/>
      <x:c r="B71" s="58"/>
      <x:c r="C71" s="7"/>
      <x:c r="D71" s="7"/>
      <x:c r="E71" s="7"/>
      <x:c r="F71" s="7"/>
      <x:c r="G71" s="7"/>
      <x:c r="H71" s="63"/>
      <x:c r="I71" s="64"/>
      <x:c r="J71" s="62" t="str">
        <x:f>IF(A71="","",IF(G71="Cancelled",0,MAX(0,H71-I71)))</x:f>
      </x:c>
      <x:c r="K71" s="2" t="str">
        <x:f>IF(A71="","",IF(G71="Cancelled","No charge",IF(J71=0,"Paid",IF(I71&gt;0,"Partial","Unpaid"))))</x:f>
      </x:c>
      <x:c r="L71" s="2" t="str">
        <x:f>IF(A71="","",IF(AND(G71="Completed",J71&gt;0),"Collect balance",IF(AND(G71="Scheduled",B71&lt;TODAY()),"Review overdue visit","")))</x:f>
      </x:c>
      <x:c r="M71" s="55"/>
      <x:c r="N71" s="2"/>
      <x:c r="O71" s="2"/>
      <x:c r="P71" s="2"/>
      <x:c r="Q71" s="2"/>
      <x:c r="R71" s="2"/>
      <x:c r="S71" s="2"/>
      <x:c r="T71" s="2"/>
      <x:c r="U71" s="2"/>
      <x:c r="V71" s="2"/>
      <x:c r="W71" s="2"/>
      <x:c r="X71" s="2"/>
      <x:c r="Y71" s="2"/>
      <x:c r="Z71" s="2"/>
    </x:row>
    <x:row r="72">
      <x:c r="A72" s="49"/>
      <x:c r="B72" s="58"/>
      <x:c r="C72" s="7"/>
      <x:c r="D72" s="7"/>
      <x:c r="E72" s="7"/>
      <x:c r="F72" s="7"/>
      <x:c r="G72" s="7"/>
      <x:c r="H72" s="63"/>
      <x:c r="I72" s="64"/>
      <x:c r="J72" s="62" t="str">
        <x:f>IF(A72="","",IF(G72="Cancelled",0,MAX(0,H72-I72)))</x:f>
      </x:c>
      <x:c r="K72" s="2" t="str">
        <x:f>IF(A72="","",IF(G72="Cancelled","No charge",IF(J72=0,"Paid",IF(I72&gt;0,"Partial","Unpaid"))))</x:f>
      </x:c>
      <x:c r="L72" s="2" t="str">
        <x:f>IF(A72="","",IF(AND(G72="Completed",J72&gt;0),"Collect balance",IF(AND(G72="Scheduled",B72&lt;TODAY()),"Review overdue visit","")))</x:f>
      </x:c>
      <x:c r="M72" s="55"/>
      <x:c r="N72" s="2"/>
      <x:c r="O72" s="2"/>
      <x:c r="P72" s="2"/>
      <x:c r="Q72" s="2"/>
      <x:c r="R72" s="2"/>
      <x:c r="S72" s="2"/>
      <x:c r="T72" s="2"/>
      <x:c r="U72" s="2"/>
      <x:c r="V72" s="2"/>
      <x:c r="W72" s="2"/>
      <x:c r="X72" s="2"/>
      <x:c r="Y72" s="2"/>
      <x:c r="Z72" s="2"/>
    </x:row>
    <x:row r="73">
      <x:c r="A73" s="49"/>
      <x:c r="B73" s="58"/>
      <x:c r="C73" s="7"/>
      <x:c r="D73" s="7"/>
      <x:c r="E73" s="7"/>
      <x:c r="F73" s="7"/>
      <x:c r="G73" s="7"/>
      <x:c r="H73" s="63"/>
      <x:c r="I73" s="64"/>
      <x:c r="J73" s="62" t="str">
        <x:f>IF(A73="","",IF(G73="Cancelled",0,MAX(0,H73-I73)))</x:f>
      </x:c>
      <x:c r="K73" s="2" t="str">
        <x:f>IF(A73="","",IF(G73="Cancelled","No charge",IF(J73=0,"Paid",IF(I73&gt;0,"Partial","Unpaid"))))</x:f>
      </x:c>
      <x:c r="L73" s="2" t="str">
        <x:f>IF(A73="","",IF(AND(G73="Completed",J73&gt;0),"Collect balance",IF(AND(G73="Scheduled",B73&lt;TODAY()),"Review overdue visit","")))</x:f>
      </x:c>
      <x:c r="M73" s="55"/>
      <x:c r="N73" s="2"/>
      <x:c r="O73" s="2"/>
      <x:c r="P73" s="2"/>
      <x:c r="Q73" s="2"/>
      <x:c r="R73" s="2"/>
      <x:c r="S73" s="2"/>
      <x:c r="T73" s="2"/>
      <x:c r="U73" s="2"/>
      <x:c r="V73" s="2"/>
      <x:c r="W73" s="2"/>
      <x:c r="X73" s="2"/>
      <x:c r="Y73" s="2"/>
      <x:c r="Z73" s="2"/>
    </x:row>
    <x:row r="74">
      <x:c r="A74" s="49"/>
      <x:c r="B74" s="58"/>
      <x:c r="C74" s="7"/>
      <x:c r="D74" s="7"/>
      <x:c r="E74" s="7"/>
      <x:c r="F74" s="7"/>
      <x:c r="G74" s="7"/>
      <x:c r="H74" s="63"/>
      <x:c r="I74" s="64"/>
      <x:c r="J74" s="62" t="str">
        <x:f>IF(A74="","",IF(G74="Cancelled",0,MAX(0,H74-I74)))</x:f>
      </x:c>
      <x:c r="K74" s="2" t="str">
        <x:f>IF(A74="","",IF(G74="Cancelled","No charge",IF(J74=0,"Paid",IF(I74&gt;0,"Partial","Unpaid"))))</x:f>
      </x:c>
      <x:c r="L74" s="2" t="str">
        <x:f>IF(A74="","",IF(AND(G74="Completed",J74&gt;0),"Collect balance",IF(AND(G74="Scheduled",B74&lt;TODAY()),"Review overdue visit","")))</x:f>
      </x:c>
      <x:c r="M74" s="55"/>
      <x:c r="N74" s="2"/>
      <x:c r="O74" s="2"/>
      <x:c r="P74" s="2"/>
      <x:c r="Q74" s="2"/>
      <x:c r="R74" s="2"/>
      <x:c r="S74" s="2"/>
      <x:c r="T74" s="2"/>
      <x:c r="U74" s="2"/>
      <x:c r="V74" s="2"/>
      <x:c r="W74" s="2"/>
      <x:c r="X74" s="2"/>
      <x:c r="Y74" s="2"/>
      <x:c r="Z74" s="2"/>
    </x:row>
    <x:row r="75">
      <x:c r="A75" s="49"/>
      <x:c r="B75" s="58"/>
      <x:c r="C75" s="7"/>
      <x:c r="D75" s="7"/>
      <x:c r="E75" s="7"/>
      <x:c r="F75" s="7"/>
      <x:c r="G75" s="7"/>
      <x:c r="H75" s="63"/>
      <x:c r="I75" s="64"/>
      <x:c r="J75" s="62" t="str">
        <x:f>IF(A75="","",IF(G75="Cancelled",0,MAX(0,H75-I75)))</x:f>
      </x:c>
      <x:c r="K75" s="2" t="str">
        <x:f>IF(A75="","",IF(G75="Cancelled","No charge",IF(J75=0,"Paid",IF(I75&gt;0,"Partial","Unpaid"))))</x:f>
      </x:c>
      <x:c r="L75" s="2" t="str">
        <x:f>IF(A75="","",IF(AND(G75="Completed",J75&gt;0),"Collect balance",IF(AND(G75="Scheduled",B75&lt;TODAY()),"Review overdue visit","")))</x:f>
      </x:c>
      <x:c r="M75" s="55"/>
      <x:c r="N75" s="2"/>
      <x:c r="O75" s="2"/>
      <x:c r="P75" s="2"/>
      <x:c r="Q75" s="2"/>
      <x:c r="R75" s="2"/>
      <x:c r="S75" s="2"/>
      <x:c r="T75" s="2"/>
      <x:c r="U75" s="2"/>
      <x:c r="V75" s="2"/>
      <x:c r="W75" s="2"/>
      <x:c r="X75" s="2"/>
      <x:c r="Y75" s="2"/>
      <x:c r="Z75" s="2"/>
    </x:row>
    <x:row r="76">
      <x:c r="A76" s="49"/>
      <x:c r="B76" s="58"/>
      <x:c r="C76" s="7"/>
      <x:c r="D76" s="7"/>
      <x:c r="E76" s="7"/>
      <x:c r="F76" s="7"/>
      <x:c r="G76" s="7"/>
      <x:c r="H76" s="63"/>
      <x:c r="I76" s="64"/>
      <x:c r="J76" s="62" t="str">
        <x:f>IF(A76="","",IF(G76="Cancelled",0,MAX(0,H76-I76)))</x:f>
      </x:c>
      <x:c r="K76" s="2" t="str">
        <x:f>IF(A76="","",IF(G76="Cancelled","No charge",IF(J76=0,"Paid",IF(I76&gt;0,"Partial","Unpaid"))))</x:f>
      </x:c>
      <x:c r="L76" s="2" t="str">
        <x:f>IF(A76="","",IF(AND(G76="Completed",J76&gt;0),"Collect balance",IF(AND(G76="Scheduled",B76&lt;TODAY()),"Review overdue visit","")))</x:f>
      </x:c>
      <x:c r="M76" s="55"/>
      <x:c r="N76" s="2"/>
      <x:c r="O76" s="2"/>
      <x:c r="P76" s="2"/>
      <x:c r="Q76" s="2"/>
      <x:c r="R76" s="2"/>
      <x:c r="S76" s="2"/>
      <x:c r="T76" s="2"/>
      <x:c r="U76" s="2"/>
      <x:c r="V76" s="2"/>
      <x:c r="W76" s="2"/>
      <x:c r="X76" s="2"/>
      <x:c r="Y76" s="2"/>
      <x:c r="Z76" s="2"/>
    </x:row>
    <x:row r="77">
      <x:c r="A77" s="49"/>
      <x:c r="B77" s="58"/>
      <x:c r="C77" s="7"/>
      <x:c r="D77" s="7"/>
      <x:c r="E77" s="7"/>
      <x:c r="F77" s="7"/>
      <x:c r="G77" s="7"/>
      <x:c r="H77" s="63"/>
      <x:c r="I77" s="64"/>
      <x:c r="J77" s="62" t="str">
        <x:f>IF(A77="","",IF(G77="Cancelled",0,MAX(0,H77-I77)))</x:f>
      </x:c>
      <x:c r="K77" s="2" t="str">
        <x:f>IF(A77="","",IF(G77="Cancelled","No charge",IF(J77=0,"Paid",IF(I77&gt;0,"Partial","Unpaid"))))</x:f>
      </x:c>
      <x:c r="L77" s="2" t="str">
        <x:f>IF(A77="","",IF(AND(G77="Completed",J77&gt;0),"Collect balance",IF(AND(G77="Scheduled",B77&lt;TODAY()),"Review overdue visit","")))</x:f>
      </x:c>
      <x:c r="M77" s="55"/>
      <x:c r="N77" s="2"/>
      <x:c r="O77" s="2"/>
      <x:c r="P77" s="2"/>
      <x:c r="Q77" s="2"/>
      <x:c r="R77" s="2"/>
      <x:c r="S77" s="2"/>
      <x:c r="T77" s="2"/>
      <x:c r="U77" s="2"/>
      <x:c r="V77" s="2"/>
      <x:c r="W77" s="2"/>
      <x:c r="X77" s="2"/>
      <x:c r="Y77" s="2"/>
      <x:c r="Z77" s="2"/>
    </x:row>
    <x:row r="78">
      <x:c r="A78" s="49"/>
      <x:c r="B78" s="58"/>
      <x:c r="C78" s="7"/>
      <x:c r="D78" s="7"/>
      <x:c r="E78" s="7"/>
      <x:c r="F78" s="7"/>
      <x:c r="G78" s="7"/>
      <x:c r="H78" s="63"/>
      <x:c r="I78" s="64"/>
      <x:c r="J78" s="62" t="str">
        <x:f>IF(A78="","",IF(G78="Cancelled",0,MAX(0,H78-I78)))</x:f>
      </x:c>
      <x:c r="K78" s="2" t="str">
        <x:f>IF(A78="","",IF(G78="Cancelled","No charge",IF(J78=0,"Paid",IF(I78&gt;0,"Partial","Unpaid"))))</x:f>
      </x:c>
      <x:c r="L78" s="2" t="str">
        <x:f>IF(A78="","",IF(AND(G78="Completed",J78&gt;0),"Collect balance",IF(AND(G78="Scheduled",B78&lt;TODAY()),"Review overdue visit","")))</x:f>
      </x:c>
      <x:c r="M78" s="55"/>
      <x:c r="N78" s="2"/>
      <x:c r="O78" s="2"/>
      <x:c r="P78" s="2"/>
      <x:c r="Q78" s="2"/>
      <x:c r="R78" s="2"/>
      <x:c r="S78" s="2"/>
      <x:c r="T78" s="2"/>
      <x:c r="U78" s="2"/>
      <x:c r="V78" s="2"/>
      <x:c r="W78" s="2"/>
      <x:c r="X78" s="2"/>
      <x:c r="Y78" s="2"/>
      <x:c r="Z78" s="2"/>
    </x:row>
    <x:row r="79">
      <x:c r="A79" s="49"/>
      <x:c r="B79" s="58"/>
      <x:c r="C79" s="7"/>
      <x:c r="D79" s="7"/>
      <x:c r="E79" s="7"/>
      <x:c r="F79" s="7"/>
      <x:c r="G79" s="7"/>
      <x:c r="H79" s="63"/>
      <x:c r="I79" s="64"/>
      <x:c r="J79" s="62" t="str">
        <x:f>IF(A79="","",IF(G79="Cancelled",0,MAX(0,H79-I79)))</x:f>
      </x:c>
      <x:c r="K79" s="2" t="str">
        <x:f>IF(A79="","",IF(G79="Cancelled","No charge",IF(J79=0,"Paid",IF(I79&gt;0,"Partial","Unpaid"))))</x:f>
      </x:c>
      <x:c r="L79" s="2" t="str">
        <x:f>IF(A79="","",IF(AND(G79="Completed",J79&gt;0),"Collect balance",IF(AND(G79="Scheduled",B79&lt;TODAY()),"Review overdue visit","")))</x:f>
      </x:c>
      <x:c r="M79" s="55"/>
      <x:c r="N79" s="2"/>
      <x:c r="O79" s="2"/>
      <x:c r="P79" s="2"/>
      <x:c r="Q79" s="2"/>
      <x:c r="R79" s="2"/>
      <x:c r="S79" s="2"/>
      <x:c r="T79" s="2"/>
      <x:c r="U79" s="2"/>
      <x:c r="V79" s="2"/>
      <x:c r="W79" s="2"/>
      <x:c r="X79" s="2"/>
      <x:c r="Y79" s="2"/>
      <x:c r="Z79" s="2"/>
    </x:row>
    <x:row r="80">
      <x:c r="A80" s="49"/>
      <x:c r="B80" s="58"/>
      <x:c r="C80" s="7"/>
      <x:c r="D80" s="7"/>
      <x:c r="E80" s="7"/>
      <x:c r="F80" s="7"/>
      <x:c r="G80" s="7"/>
      <x:c r="H80" s="63"/>
      <x:c r="I80" s="64"/>
      <x:c r="J80" s="62" t="str">
        <x:f>IF(A80="","",IF(G80="Cancelled",0,MAX(0,H80-I80)))</x:f>
      </x:c>
      <x:c r="K80" s="2" t="str">
        <x:f>IF(A80="","",IF(G80="Cancelled","No charge",IF(J80=0,"Paid",IF(I80&gt;0,"Partial","Unpaid"))))</x:f>
      </x:c>
      <x:c r="L80" s="2" t="str">
        <x:f>IF(A80="","",IF(AND(G80="Completed",J80&gt;0),"Collect balance",IF(AND(G80="Scheduled",B80&lt;TODAY()),"Review overdue visit","")))</x:f>
      </x:c>
      <x:c r="M80" s="55"/>
      <x:c r="N80" s="2"/>
      <x:c r="O80" s="2"/>
      <x:c r="P80" s="2"/>
      <x:c r="Q80" s="2"/>
      <x:c r="R80" s="2"/>
      <x:c r="S80" s="2"/>
      <x:c r="T80" s="2"/>
      <x:c r="U80" s="2"/>
      <x:c r="V80" s="2"/>
      <x:c r="W80" s="2"/>
      <x:c r="X80" s="2"/>
      <x:c r="Y80" s="2"/>
      <x:c r="Z80" s="2"/>
    </x:row>
    <x:row r="81">
      <x:c r="A81" s="49"/>
      <x:c r="B81" s="58"/>
      <x:c r="C81" s="7"/>
      <x:c r="D81" s="7"/>
      <x:c r="E81" s="7"/>
      <x:c r="F81" s="7"/>
      <x:c r="G81" s="7"/>
      <x:c r="H81" s="63"/>
      <x:c r="I81" s="64"/>
      <x:c r="J81" s="62" t="str">
        <x:f>IF(A81="","",IF(G81="Cancelled",0,MAX(0,H81-I81)))</x:f>
      </x:c>
      <x:c r="K81" s="2" t="str">
        <x:f>IF(A81="","",IF(G81="Cancelled","No charge",IF(J81=0,"Paid",IF(I81&gt;0,"Partial","Unpaid"))))</x:f>
      </x:c>
      <x:c r="L81" s="2" t="str">
        <x:f>IF(A81="","",IF(AND(G81="Completed",J81&gt;0),"Collect balance",IF(AND(G81="Scheduled",B81&lt;TODAY()),"Review overdue visit","")))</x:f>
      </x:c>
      <x:c r="M81" s="55"/>
      <x:c r="N81" s="2"/>
      <x:c r="O81" s="2"/>
      <x:c r="P81" s="2"/>
      <x:c r="Q81" s="2"/>
      <x:c r="R81" s="2"/>
      <x:c r="S81" s="2"/>
      <x:c r="T81" s="2"/>
      <x:c r="U81" s="2"/>
      <x:c r="V81" s="2"/>
      <x:c r="W81" s="2"/>
      <x:c r="X81" s="2"/>
      <x:c r="Y81" s="2"/>
      <x:c r="Z81" s="2"/>
    </x:row>
    <x:row r="82">
      <x:c r="A82" s="49"/>
      <x:c r="B82" s="58"/>
      <x:c r="C82" s="7"/>
      <x:c r="D82" s="7"/>
      <x:c r="E82" s="7"/>
      <x:c r="F82" s="7"/>
      <x:c r="G82" s="7"/>
      <x:c r="H82" s="63"/>
      <x:c r="I82" s="64"/>
      <x:c r="J82" s="62" t="str">
        <x:f>IF(A82="","",IF(G82="Cancelled",0,MAX(0,H82-I82)))</x:f>
      </x:c>
      <x:c r="K82" s="2" t="str">
        <x:f>IF(A82="","",IF(G82="Cancelled","No charge",IF(J82=0,"Paid",IF(I82&gt;0,"Partial","Unpaid"))))</x:f>
      </x:c>
      <x:c r="L82" s="2" t="str">
        <x:f>IF(A82="","",IF(AND(G82="Completed",J82&gt;0),"Collect balance",IF(AND(G82="Scheduled",B82&lt;TODAY()),"Review overdue visit","")))</x:f>
      </x:c>
      <x:c r="M82" s="55"/>
      <x:c r="N82" s="2"/>
      <x:c r="O82" s="2"/>
      <x:c r="P82" s="2"/>
      <x:c r="Q82" s="2"/>
      <x:c r="R82" s="2"/>
      <x:c r="S82" s="2"/>
      <x:c r="T82" s="2"/>
      <x:c r="U82" s="2"/>
      <x:c r="V82" s="2"/>
      <x:c r="W82" s="2"/>
      <x:c r="X82" s="2"/>
      <x:c r="Y82" s="2"/>
      <x:c r="Z82" s="2"/>
    </x:row>
    <x:row r="83">
      <x:c r="A83" s="49"/>
      <x:c r="B83" s="58"/>
      <x:c r="C83" s="7"/>
      <x:c r="D83" s="7"/>
      <x:c r="E83" s="7"/>
      <x:c r="F83" s="7"/>
      <x:c r="G83" s="7"/>
      <x:c r="H83" s="63"/>
      <x:c r="I83" s="64"/>
      <x:c r="J83" s="62" t="str">
        <x:f>IF(A83="","",IF(G83="Cancelled",0,MAX(0,H83-I83)))</x:f>
      </x:c>
      <x:c r="K83" s="2" t="str">
        <x:f>IF(A83="","",IF(G83="Cancelled","No charge",IF(J83=0,"Paid",IF(I83&gt;0,"Partial","Unpaid"))))</x:f>
      </x:c>
      <x:c r="L83" s="2" t="str">
        <x:f>IF(A83="","",IF(AND(G83="Completed",J83&gt;0),"Collect balance",IF(AND(G83="Scheduled",B83&lt;TODAY()),"Review overdue visit","")))</x:f>
      </x:c>
      <x:c r="M83" s="55"/>
      <x:c r="N83" s="2"/>
      <x:c r="O83" s="2"/>
      <x:c r="P83" s="2"/>
      <x:c r="Q83" s="2"/>
      <x:c r="R83" s="2"/>
      <x:c r="S83" s="2"/>
      <x:c r="T83" s="2"/>
      <x:c r="U83" s="2"/>
      <x:c r="V83" s="2"/>
      <x:c r="W83" s="2"/>
      <x:c r="X83" s="2"/>
      <x:c r="Y83" s="2"/>
      <x:c r="Z83" s="2"/>
    </x:row>
    <x:row r="84">
      <x:c r="A84" s="49"/>
      <x:c r="B84" s="58"/>
      <x:c r="C84" s="7"/>
      <x:c r="D84" s="7"/>
      <x:c r="E84" s="7"/>
      <x:c r="F84" s="7"/>
      <x:c r="G84" s="7"/>
      <x:c r="H84" s="63"/>
      <x:c r="I84" s="64"/>
      <x:c r="J84" s="62" t="str">
        <x:f>IF(A84="","",IF(G84="Cancelled",0,MAX(0,H84-I84)))</x:f>
      </x:c>
      <x:c r="K84" s="2" t="str">
        <x:f>IF(A84="","",IF(G84="Cancelled","No charge",IF(J84=0,"Paid",IF(I84&gt;0,"Partial","Unpaid"))))</x:f>
      </x:c>
      <x:c r="L84" s="2" t="str">
        <x:f>IF(A84="","",IF(AND(G84="Completed",J84&gt;0),"Collect balance",IF(AND(G84="Scheduled",B84&lt;TODAY()),"Review overdue visit","")))</x:f>
      </x:c>
      <x:c r="M84" s="55"/>
      <x:c r="N84" s="2"/>
      <x:c r="O84" s="2"/>
      <x:c r="P84" s="2"/>
      <x:c r="Q84" s="2"/>
      <x:c r="R84" s="2"/>
      <x:c r="S84" s="2"/>
      <x:c r="T84" s="2"/>
      <x:c r="U84" s="2"/>
      <x:c r="V84" s="2"/>
      <x:c r="W84" s="2"/>
      <x:c r="X84" s="2"/>
      <x:c r="Y84" s="2"/>
      <x:c r="Z84" s="2"/>
    </x:row>
    <x:row r="85">
      <x:c r="A85" s="49"/>
      <x:c r="B85" s="58"/>
      <x:c r="C85" s="7"/>
      <x:c r="D85" s="7"/>
      <x:c r="E85" s="7"/>
      <x:c r="F85" s="7"/>
      <x:c r="G85" s="7"/>
      <x:c r="H85" s="63"/>
      <x:c r="I85" s="64"/>
      <x:c r="J85" s="62" t="str">
        <x:f>IF(A85="","",IF(G85="Cancelled",0,MAX(0,H85-I85)))</x:f>
      </x:c>
      <x:c r="K85" s="2" t="str">
        <x:f>IF(A85="","",IF(G85="Cancelled","No charge",IF(J85=0,"Paid",IF(I85&gt;0,"Partial","Unpaid"))))</x:f>
      </x:c>
      <x:c r="L85" s="2" t="str">
        <x:f>IF(A85="","",IF(AND(G85="Completed",J85&gt;0),"Collect balance",IF(AND(G85="Scheduled",B85&lt;TODAY()),"Review overdue visit","")))</x:f>
      </x:c>
      <x:c r="M85" s="55"/>
      <x:c r="N85" s="2"/>
      <x:c r="O85" s="2"/>
      <x:c r="P85" s="2"/>
      <x:c r="Q85" s="2"/>
      <x:c r="R85" s="2"/>
      <x:c r="S85" s="2"/>
      <x:c r="T85" s="2"/>
      <x:c r="U85" s="2"/>
      <x:c r="V85" s="2"/>
      <x:c r="W85" s="2"/>
      <x:c r="X85" s="2"/>
      <x:c r="Y85" s="2"/>
      <x:c r="Z85" s="2"/>
    </x:row>
    <x:row r="86">
      <x:c r="A86" s="49"/>
      <x:c r="B86" s="58"/>
      <x:c r="C86" s="7"/>
      <x:c r="D86" s="7"/>
      <x:c r="E86" s="7"/>
      <x:c r="F86" s="7"/>
      <x:c r="G86" s="7"/>
      <x:c r="H86" s="63"/>
      <x:c r="I86" s="64"/>
      <x:c r="J86" s="62" t="str">
        <x:f>IF(A86="","",IF(G86="Cancelled",0,MAX(0,H86-I86)))</x:f>
      </x:c>
      <x:c r="K86" s="2" t="str">
        <x:f>IF(A86="","",IF(G86="Cancelled","No charge",IF(J86=0,"Paid",IF(I86&gt;0,"Partial","Unpaid"))))</x:f>
      </x:c>
      <x:c r="L86" s="2" t="str">
        <x:f>IF(A86="","",IF(AND(G86="Completed",J86&gt;0),"Collect balance",IF(AND(G86="Scheduled",B86&lt;TODAY()),"Review overdue visit","")))</x:f>
      </x:c>
      <x:c r="M86" s="55"/>
      <x:c r="N86" s="2"/>
      <x:c r="O86" s="2"/>
      <x:c r="P86" s="2"/>
      <x:c r="Q86" s="2"/>
      <x:c r="R86" s="2"/>
      <x:c r="S86" s="2"/>
      <x:c r="T86" s="2"/>
      <x:c r="U86" s="2"/>
      <x:c r="V86" s="2"/>
      <x:c r="W86" s="2"/>
      <x:c r="X86" s="2"/>
      <x:c r="Y86" s="2"/>
      <x:c r="Z86" s="2"/>
    </x:row>
    <x:row r="87">
      <x:c r="A87" s="49"/>
      <x:c r="B87" s="58"/>
      <x:c r="C87" s="7"/>
      <x:c r="D87" s="7"/>
      <x:c r="E87" s="7"/>
      <x:c r="F87" s="7"/>
      <x:c r="G87" s="7"/>
      <x:c r="H87" s="63"/>
      <x:c r="I87" s="64"/>
      <x:c r="J87" s="62" t="str">
        <x:f>IF(A87="","",IF(G87="Cancelled",0,MAX(0,H87-I87)))</x:f>
      </x:c>
      <x:c r="K87" s="2" t="str">
        <x:f>IF(A87="","",IF(G87="Cancelled","No charge",IF(J87=0,"Paid",IF(I87&gt;0,"Partial","Unpaid"))))</x:f>
      </x:c>
      <x:c r="L87" s="2" t="str">
        <x:f>IF(A87="","",IF(AND(G87="Completed",J87&gt;0),"Collect balance",IF(AND(G87="Scheduled",B87&lt;TODAY()),"Review overdue visit","")))</x:f>
      </x:c>
      <x:c r="M87" s="55"/>
      <x:c r="N87" s="2"/>
      <x:c r="O87" s="2"/>
      <x:c r="P87" s="2"/>
      <x:c r="Q87" s="2"/>
      <x:c r="R87" s="2"/>
      <x:c r="S87" s="2"/>
      <x:c r="T87" s="2"/>
      <x:c r="U87" s="2"/>
      <x:c r="V87" s="2"/>
      <x:c r="W87" s="2"/>
      <x:c r="X87" s="2"/>
      <x:c r="Y87" s="2"/>
      <x:c r="Z87" s="2"/>
    </x:row>
    <x:row r="88">
      <x:c r="A88" s="49"/>
      <x:c r="B88" s="58"/>
      <x:c r="C88" s="7"/>
      <x:c r="D88" s="7"/>
      <x:c r="E88" s="7"/>
      <x:c r="F88" s="7"/>
      <x:c r="G88" s="7"/>
      <x:c r="H88" s="63"/>
      <x:c r="I88" s="64"/>
      <x:c r="J88" s="62" t="str">
        <x:f>IF(A88="","",IF(G88="Cancelled",0,MAX(0,H88-I88)))</x:f>
      </x:c>
      <x:c r="K88" s="2" t="str">
        <x:f>IF(A88="","",IF(G88="Cancelled","No charge",IF(J88=0,"Paid",IF(I88&gt;0,"Partial","Unpaid"))))</x:f>
      </x:c>
      <x:c r="L88" s="2" t="str">
        <x:f>IF(A88="","",IF(AND(G88="Completed",J88&gt;0),"Collect balance",IF(AND(G88="Scheduled",B88&lt;TODAY()),"Review overdue visit","")))</x:f>
      </x:c>
      <x:c r="M88" s="55"/>
      <x:c r="N88" s="2"/>
      <x:c r="O88" s="2"/>
      <x:c r="P88" s="2"/>
      <x:c r="Q88" s="2"/>
      <x:c r="R88" s="2"/>
      <x:c r="S88" s="2"/>
      <x:c r="T88" s="2"/>
      <x:c r="U88" s="2"/>
      <x:c r="V88" s="2"/>
      <x:c r="W88" s="2"/>
      <x:c r="X88" s="2"/>
      <x:c r="Y88" s="2"/>
      <x:c r="Z88" s="2"/>
    </x:row>
    <x:row r="89">
      <x:c r="A89" s="49"/>
      <x:c r="B89" s="58"/>
      <x:c r="C89" s="7"/>
      <x:c r="D89" s="7"/>
      <x:c r="E89" s="7"/>
      <x:c r="F89" s="7"/>
      <x:c r="G89" s="7"/>
      <x:c r="H89" s="63"/>
      <x:c r="I89" s="64"/>
      <x:c r="J89" s="62" t="str">
        <x:f>IF(A89="","",IF(G89="Cancelled",0,MAX(0,H89-I89)))</x:f>
      </x:c>
      <x:c r="K89" s="2" t="str">
        <x:f>IF(A89="","",IF(G89="Cancelled","No charge",IF(J89=0,"Paid",IF(I89&gt;0,"Partial","Unpaid"))))</x:f>
      </x:c>
      <x:c r="L89" s="2" t="str">
        <x:f>IF(A89="","",IF(AND(G89="Completed",J89&gt;0),"Collect balance",IF(AND(G89="Scheduled",B89&lt;TODAY()),"Review overdue visit","")))</x:f>
      </x:c>
      <x:c r="M89" s="55"/>
      <x:c r="N89" s="2"/>
      <x:c r="O89" s="2"/>
      <x:c r="P89" s="2"/>
      <x:c r="Q89" s="2"/>
      <x:c r="R89" s="2"/>
      <x:c r="S89" s="2"/>
      <x:c r="T89" s="2"/>
      <x:c r="U89" s="2"/>
      <x:c r="V89" s="2"/>
      <x:c r="W89" s="2"/>
      <x:c r="X89" s="2"/>
      <x:c r="Y89" s="2"/>
      <x:c r="Z89" s="2"/>
    </x:row>
    <x:row r="90">
      <x:c r="A90" s="49"/>
      <x:c r="B90" s="58"/>
      <x:c r="C90" s="7"/>
      <x:c r="D90" s="7"/>
      <x:c r="E90" s="7"/>
      <x:c r="F90" s="7"/>
      <x:c r="G90" s="7"/>
      <x:c r="H90" s="63"/>
      <x:c r="I90" s="64"/>
      <x:c r="J90" s="62" t="str">
        <x:f>IF(A90="","",IF(G90="Cancelled",0,MAX(0,H90-I90)))</x:f>
      </x:c>
      <x:c r="K90" s="2" t="str">
        <x:f>IF(A90="","",IF(G90="Cancelled","No charge",IF(J90=0,"Paid",IF(I90&gt;0,"Partial","Unpaid"))))</x:f>
      </x:c>
      <x:c r="L90" s="2" t="str">
        <x:f>IF(A90="","",IF(AND(G90="Completed",J90&gt;0),"Collect balance",IF(AND(G90="Scheduled",B90&lt;TODAY()),"Review overdue visit","")))</x:f>
      </x:c>
      <x:c r="M90" s="55"/>
      <x:c r="N90" s="2"/>
      <x:c r="O90" s="2"/>
      <x:c r="P90" s="2"/>
      <x:c r="Q90" s="2"/>
      <x:c r="R90" s="2"/>
      <x:c r="S90" s="2"/>
      <x:c r="T90" s="2"/>
      <x:c r="U90" s="2"/>
      <x:c r="V90" s="2"/>
      <x:c r="W90" s="2"/>
      <x:c r="X90" s="2"/>
      <x:c r="Y90" s="2"/>
      <x:c r="Z90" s="2"/>
    </x:row>
    <x:row r="91">
      <x:c r="A91" s="49"/>
      <x:c r="B91" s="58"/>
      <x:c r="C91" s="7"/>
      <x:c r="D91" s="7"/>
      <x:c r="E91" s="7"/>
      <x:c r="F91" s="7"/>
      <x:c r="G91" s="7"/>
      <x:c r="H91" s="63"/>
      <x:c r="I91" s="64"/>
      <x:c r="J91" s="62" t="str">
        <x:f>IF(A91="","",IF(G91="Cancelled",0,MAX(0,H91-I91)))</x:f>
      </x:c>
      <x:c r="K91" s="2" t="str">
        <x:f>IF(A91="","",IF(G91="Cancelled","No charge",IF(J91=0,"Paid",IF(I91&gt;0,"Partial","Unpaid"))))</x:f>
      </x:c>
      <x:c r="L91" s="2" t="str">
        <x:f>IF(A91="","",IF(AND(G91="Completed",J91&gt;0),"Collect balance",IF(AND(G91="Scheduled",B91&lt;TODAY()),"Review overdue visit","")))</x:f>
      </x:c>
      <x:c r="M91" s="55"/>
      <x:c r="N91" s="2"/>
      <x:c r="O91" s="2"/>
      <x:c r="P91" s="2"/>
      <x:c r="Q91" s="2"/>
      <x:c r="R91" s="2"/>
      <x:c r="S91" s="2"/>
      <x:c r="T91" s="2"/>
      <x:c r="U91" s="2"/>
      <x:c r="V91" s="2"/>
      <x:c r="W91" s="2"/>
      <x:c r="X91" s="2"/>
      <x:c r="Y91" s="2"/>
      <x:c r="Z91" s="2"/>
    </x:row>
    <x:row r="92">
      <x:c r="A92" s="49"/>
      <x:c r="B92" s="58"/>
      <x:c r="C92" s="7"/>
      <x:c r="D92" s="7"/>
      <x:c r="E92" s="7"/>
      <x:c r="F92" s="7"/>
      <x:c r="G92" s="7"/>
      <x:c r="H92" s="63"/>
      <x:c r="I92" s="64"/>
      <x:c r="J92" s="62" t="str">
        <x:f>IF(A92="","",IF(G92="Cancelled",0,MAX(0,H92-I92)))</x:f>
      </x:c>
      <x:c r="K92" s="2" t="str">
        <x:f>IF(A92="","",IF(G92="Cancelled","No charge",IF(J92=0,"Paid",IF(I92&gt;0,"Partial","Unpaid"))))</x:f>
      </x:c>
      <x:c r="L92" s="2" t="str">
        <x:f>IF(A92="","",IF(AND(G92="Completed",J92&gt;0),"Collect balance",IF(AND(G92="Scheduled",B92&lt;TODAY()),"Review overdue visit","")))</x:f>
      </x:c>
      <x:c r="M92" s="55"/>
      <x:c r="N92" s="2"/>
      <x:c r="O92" s="2"/>
      <x:c r="P92" s="2"/>
      <x:c r="Q92" s="2"/>
      <x:c r="R92" s="2"/>
      <x:c r="S92" s="2"/>
      <x:c r="T92" s="2"/>
      <x:c r="U92" s="2"/>
      <x:c r="V92" s="2"/>
      <x:c r="W92" s="2"/>
      <x:c r="X92" s="2"/>
      <x:c r="Y92" s="2"/>
      <x:c r="Z92" s="2"/>
    </x:row>
    <x:row r="93">
      <x:c r="A93" s="49"/>
      <x:c r="B93" s="58"/>
      <x:c r="C93" s="7"/>
      <x:c r="D93" s="7"/>
      <x:c r="E93" s="7"/>
      <x:c r="F93" s="7"/>
      <x:c r="G93" s="7"/>
      <x:c r="H93" s="63"/>
      <x:c r="I93" s="64"/>
      <x:c r="J93" s="62" t="str">
        <x:f>IF(A93="","",IF(G93="Cancelled",0,MAX(0,H93-I93)))</x:f>
      </x:c>
      <x:c r="K93" s="2" t="str">
        <x:f>IF(A93="","",IF(G93="Cancelled","No charge",IF(J93=0,"Paid",IF(I93&gt;0,"Partial","Unpaid"))))</x:f>
      </x:c>
      <x:c r="L93" s="2" t="str">
        <x:f>IF(A93="","",IF(AND(G93="Completed",J93&gt;0),"Collect balance",IF(AND(G93="Scheduled",B93&lt;TODAY()),"Review overdue visit","")))</x:f>
      </x:c>
      <x:c r="M93" s="55"/>
      <x:c r="N93" s="2"/>
      <x:c r="O93" s="2"/>
      <x:c r="P93" s="2"/>
      <x:c r="Q93" s="2"/>
      <x:c r="R93" s="2"/>
      <x:c r="S93" s="2"/>
      <x:c r="T93" s="2"/>
      <x:c r="U93" s="2"/>
      <x:c r="V93" s="2"/>
      <x:c r="W93" s="2"/>
      <x:c r="X93" s="2"/>
      <x:c r="Y93" s="2"/>
      <x:c r="Z93" s="2"/>
    </x:row>
    <x:row r="94">
      <x:c r="A94" s="49"/>
      <x:c r="B94" s="58"/>
      <x:c r="C94" s="7"/>
      <x:c r="D94" s="7"/>
      <x:c r="E94" s="7"/>
      <x:c r="F94" s="7"/>
      <x:c r="G94" s="7"/>
      <x:c r="H94" s="63"/>
      <x:c r="I94" s="64"/>
      <x:c r="J94" s="62" t="str">
        <x:f>IF(A94="","",IF(G94="Cancelled",0,MAX(0,H94-I94)))</x:f>
      </x:c>
      <x:c r="K94" s="2" t="str">
        <x:f>IF(A94="","",IF(G94="Cancelled","No charge",IF(J94=0,"Paid",IF(I94&gt;0,"Partial","Unpaid"))))</x:f>
      </x:c>
      <x:c r="L94" s="2" t="str">
        <x:f>IF(A94="","",IF(AND(G94="Completed",J94&gt;0),"Collect balance",IF(AND(G94="Scheduled",B94&lt;TODAY()),"Review overdue visit","")))</x:f>
      </x:c>
      <x:c r="M94" s="55"/>
      <x:c r="N94" s="2"/>
      <x:c r="O94" s="2"/>
      <x:c r="P94" s="2"/>
      <x:c r="Q94" s="2"/>
      <x:c r="R94" s="2"/>
      <x:c r="S94" s="2"/>
      <x:c r="T94" s="2"/>
      <x:c r="U94" s="2"/>
      <x:c r="V94" s="2"/>
      <x:c r="W94" s="2"/>
      <x:c r="X94" s="2"/>
      <x:c r="Y94" s="2"/>
      <x:c r="Z94" s="2"/>
    </x:row>
    <x:row r="95">
      <x:c r="A95" s="49"/>
      <x:c r="B95" s="58"/>
      <x:c r="C95" s="7"/>
      <x:c r="D95" s="7"/>
      <x:c r="E95" s="7"/>
      <x:c r="F95" s="7"/>
      <x:c r="G95" s="7"/>
      <x:c r="H95" s="63"/>
      <x:c r="I95" s="64"/>
      <x:c r="J95" s="62" t="str">
        <x:f>IF(A95="","",IF(G95="Cancelled",0,MAX(0,H95-I95)))</x:f>
      </x:c>
      <x:c r="K95" s="2" t="str">
        <x:f>IF(A95="","",IF(G95="Cancelled","No charge",IF(J95=0,"Paid",IF(I95&gt;0,"Partial","Unpaid"))))</x:f>
      </x:c>
      <x:c r="L95" s="2" t="str">
        <x:f>IF(A95="","",IF(AND(G95="Completed",J95&gt;0),"Collect balance",IF(AND(G95="Scheduled",B95&lt;TODAY()),"Review overdue visit","")))</x:f>
      </x:c>
      <x:c r="M95" s="55"/>
      <x:c r="N95" s="2"/>
      <x:c r="O95" s="2"/>
      <x:c r="P95" s="2"/>
      <x:c r="Q95" s="2"/>
      <x:c r="R95" s="2"/>
      <x:c r="S95" s="2"/>
      <x:c r="T95" s="2"/>
      <x:c r="U95" s="2"/>
      <x:c r="V95" s="2"/>
      <x:c r="W95" s="2"/>
      <x:c r="X95" s="2"/>
      <x:c r="Y95" s="2"/>
      <x:c r="Z95" s="2"/>
    </x:row>
    <x:row r="96">
      <x:c r="A96" s="49"/>
      <x:c r="B96" s="58"/>
      <x:c r="C96" s="7"/>
      <x:c r="D96" s="7"/>
      <x:c r="E96" s="7"/>
      <x:c r="F96" s="7"/>
      <x:c r="G96" s="7"/>
      <x:c r="H96" s="63"/>
      <x:c r="I96" s="64"/>
      <x:c r="J96" s="62" t="str">
        <x:f>IF(A96="","",IF(G96="Cancelled",0,MAX(0,H96-I96)))</x:f>
      </x:c>
      <x:c r="K96" s="2" t="str">
        <x:f>IF(A96="","",IF(G96="Cancelled","No charge",IF(J96=0,"Paid",IF(I96&gt;0,"Partial","Unpaid"))))</x:f>
      </x:c>
      <x:c r="L96" s="2" t="str">
        <x:f>IF(A96="","",IF(AND(G96="Completed",J96&gt;0),"Collect balance",IF(AND(G96="Scheduled",B96&lt;TODAY()),"Review overdue visit","")))</x:f>
      </x:c>
      <x:c r="M96" s="55"/>
      <x:c r="N96" s="2"/>
      <x:c r="O96" s="2"/>
      <x:c r="P96" s="2"/>
      <x:c r="Q96" s="2"/>
      <x:c r="R96" s="2"/>
      <x:c r="S96" s="2"/>
      <x:c r="T96" s="2"/>
      <x:c r="U96" s="2"/>
      <x:c r="V96" s="2"/>
      <x:c r="W96" s="2"/>
      <x:c r="X96" s="2"/>
      <x:c r="Y96" s="2"/>
      <x:c r="Z96" s="2"/>
    </x:row>
    <x:row r="97">
      <x:c r="A97" s="49"/>
      <x:c r="B97" s="58"/>
      <x:c r="C97" s="7"/>
      <x:c r="D97" s="7"/>
      <x:c r="E97" s="7"/>
      <x:c r="F97" s="7"/>
      <x:c r="G97" s="7"/>
      <x:c r="H97" s="63"/>
      <x:c r="I97" s="64"/>
      <x:c r="J97" s="62" t="str">
        <x:f>IF(A97="","",IF(G97="Cancelled",0,MAX(0,H97-I97)))</x:f>
      </x:c>
      <x:c r="K97" s="2" t="str">
        <x:f>IF(A97="","",IF(G97="Cancelled","No charge",IF(J97=0,"Paid",IF(I97&gt;0,"Partial","Unpaid"))))</x:f>
      </x:c>
      <x:c r="L97" s="2" t="str">
        <x:f>IF(A97="","",IF(AND(G97="Completed",J97&gt;0),"Collect balance",IF(AND(G97="Scheduled",B97&lt;TODAY()),"Review overdue visit","")))</x:f>
      </x:c>
      <x:c r="M97" s="55"/>
      <x:c r="N97" s="2"/>
      <x:c r="O97" s="2"/>
      <x:c r="P97" s="2"/>
      <x:c r="Q97" s="2"/>
      <x:c r="R97" s="2"/>
      <x:c r="S97" s="2"/>
      <x:c r="T97" s="2"/>
      <x:c r="U97" s="2"/>
      <x:c r="V97" s="2"/>
      <x:c r="W97" s="2"/>
      <x:c r="X97" s="2"/>
      <x:c r="Y97" s="2"/>
      <x:c r="Z97" s="2"/>
    </x:row>
    <x:row r="98">
      <x:c r="A98" s="49"/>
      <x:c r="B98" s="58"/>
      <x:c r="C98" s="7"/>
      <x:c r="D98" s="7"/>
      <x:c r="E98" s="7"/>
      <x:c r="F98" s="7"/>
      <x:c r="G98" s="7"/>
      <x:c r="H98" s="63"/>
      <x:c r="I98" s="64"/>
      <x:c r="J98" s="62" t="str">
        <x:f>IF(A98="","",IF(G98="Cancelled",0,MAX(0,H98-I98)))</x:f>
      </x:c>
      <x:c r="K98" s="2" t="str">
        <x:f>IF(A98="","",IF(G98="Cancelled","No charge",IF(J98=0,"Paid",IF(I98&gt;0,"Partial","Unpaid"))))</x:f>
      </x:c>
      <x:c r="L98" s="2" t="str">
        <x:f>IF(A98="","",IF(AND(G98="Completed",J98&gt;0),"Collect balance",IF(AND(G98="Scheduled",B98&lt;TODAY()),"Review overdue visit","")))</x:f>
      </x:c>
      <x:c r="M98" s="55"/>
      <x:c r="N98" s="2"/>
      <x:c r="O98" s="2"/>
      <x:c r="P98" s="2"/>
      <x:c r="Q98" s="2"/>
      <x:c r="R98" s="2"/>
      <x:c r="S98" s="2"/>
      <x:c r="T98" s="2"/>
      <x:c r="U98" s="2"/>
      <x:c r="V98" s="2"/>
      <x:c r="W98" s="2"/>
      <x:c r="X98" s="2"/>
      <x:c r="Y98" s="2"/>
      <x:c r="Z98" s="2"/>
    </x:row>
    <x:row r="99">
      <x:c r="A99" s="49"/>
      <x:c r="B99" s="58"/>
      <x:c r="C99" s="7"/>
      <x:c r="D99" s="7"/>
      <x:c r="E99" s="7"/>
      <x:c r="F99" s="7"/>
      <x:c r="G99" s="7"/>
      <x:c r="H99" s="63"/>
      <x:c r="I99" s="64"/>
      <x:c r="J99" s="62" t="str">
        <x:f>IF(A99="","",IF(G99="Cancelled",0,MAX(0,H99-I99)))</x:f>
      </x:c>
      <x:c r="K99" s="2" t="str">
        <x:f>IF(A99="","",IF(G99="Cancelled","No charge",IF(J99=0,"Paid",IF(I99&gt;0,"Partial","Unpaid"))))</x:f>
      </x:c>
      <x:c r="L99" s="2" t="str">
        <x:f>IF(A99="","",IF(AND(G99="Completed",J99&gt;0),"Collect balance",IF(AND(G99="Scheduled",B99&lt;TODAY()),"Review overdue visit","")))</x:f>
      </x:c>
      <x:c r="M99" s="55"/>
      <x:c r="N99" s="2"/>
      <x:c r="O99" s="2"/>
      <x:c r="P99" s="2"/>
      <x:c r="Q99" s="2"/>
      <x:c r="R99" s="2"/>
      <x:c r="S99" s="2"/>
      <x:c r="T99" s="2"/>
      <x:c r="U99" s="2"/>
      <x:c r="V99" s="2"/>
      <x:c r="W99" s="2"/>
      <x:c r="X99" s="2"/>
      <x:c r="Y99" s="2"/>
      <x:c r="Z99" s="2"/>
    </x:row>
    <x:row r="100">
      <x:c r="A100" s="49"/>
      <x:c r="B100" s="58"/>
      <x:c r="C100" s="7"/>
      <x:c r="D100" s="7"/>
      <x:c r="E100" s="7"/>
      <x:c r="F100" s="7"/>
      <x:c r="G100" s="7"/>
      <x:c r="H100" s="63"/>
      <x:c r="I100" s="64"/>
      <x:c r="J100" s="62" t="str">
        <x:f>IF(A100="","",IF(G100="Cancelled",0,MAX(0,H100-I100)))</x:f>
      </x:c>
      <x:c r="K100" s="2" t="str">
        <x:f>IF(A100="","",IF(G100="Cancelled","No charge",IF(J100=0,"Paid",IF(I100&gt;0,"Partial","Unpaid"))))</x:f>
      </x:c>
      <x:c r="L100" s="2" t="str">
        <x:f>IF(A100="","",IF(AND(G100="Completed",J100&gt;0),"Collect balance",IF(AND(G100="Scheduled",B100&lt;TODAY()),"Review overdue visit","")))</x:f>
      </x:c>
      <x:c r="M100" s="55"/>
      <x:c r="N100" s="2"/>
      <x:c r="O100" s="2"/>
      <x:c r="P100" s="2"/>
      <x:c r="Q100" s="2"/>
      <x:c r="R100" s="2"/>
      <x:c r="S100" s="2"/>
      <x:c r="T100" s="2"/>
      <x:c r="U100" s="2"/>
      <x:c r="V100" s="2"/>
      <x:c r="W100" s="2"/>
      <x:c r="X100" s="2"/>
      <x:c r="Y100" s="2"/>
      <x:c r="Z100" s="2"/>
    </x:row>
    <x:row r="101">
      <x:c r="A101" s="49"/>
      <x:c r="B101" s="58"/>
      <x:c r="C101" s="7"/>
      <x:c r="D101" s="7"/>
      <x:c r="E101" s="7"/>
      <x:c r="F101" s="7"/>
      <x:c r="G101" s="7"/>
      <x:c r="H101" s="63"/>
      <x:c r="I101" s="64"/>
      <x:c r="J101" s="62" t="str">
        <x:f>IF(A101="","",IF(G101="Cancelled",0,MAX(0,H101-I101)))</x:f>
      </x:c>
      <x:c r="K101" s="2" t="str">
        <x:f>IF(A101="","",IF(G101="Cancelled","No charge",IF(J101=0,"Paid",IF(I101&gt;0,"Partial","Unpaid"))))</x:f>
      </x:c>
      <x:c r="L101" s="2" t="str">
        <x:f>IF(A101="","",IF(AND(G101="Completed",J101&gt;0),"Collect balance",IF(AND(G101="Scheduled",B101&lt;TODAY()),"Review overdue visit","")))</x:f>
      </x:c>
      <x:c r="M101" s="55"/>
      <x:c r="N101" s="2"/>
      <x:c r="O101" s="2"/>
      <x:c r="P101" s="2"/>
      <x:c r="Q101" s="2"/>
      <x:c r="R101" s="2"/>
      <x:c r="S101" s="2"/>
      <x:c r="T101" s="2"/>
      <x:c r="U101" s="2"/>
      <x:c r="V101" s="2"/>
      <x:c r="W101" s="2"/>
      <x:c r="X101" s="2"/>
      <x:c r="Y101" s="2"/>
      <x:c r="Z101" s="2"/>
    </x:row>
    <x:row r="102">
      <x:c r="A102" s="49"/>
      <x:c r="B102" s="58"/>
      <x:c r="C102" s="7"/>
      <x:c r="D102" s="7"/>
      <x:c r="E102" s="7"/>
      <x:c r="F102" s="7"/>
      <x:c r="G102" s="7"/>
      <x:c r="H102" s="63"/>
      <x:c r="I102" s="64"/>
      <x:c r="J102" s="62" t="str">
        <x:f>IF(A102="","",IF(G102="Cancelled",0,MAX(0,H102-I102)))</x:f>
      </x:c>
      <x:c r="K102" s="2" t="str">
        <x:f>IF(A102="","",IF(G102="Cancelled","No charge",IF(J102=0,"Paid",IF(I102&gt;0,"Partial","Unpaid"))))</x:f>
      </x:c>
      <x:c r="L102" s="2" t="str">
        <x:f>IF(A102="","",IF(AND(G102="Completed",J102&gt;0),"Collect balance",IF(AND(G102="Scheduled",B102&lt;TODAY()),"Review overdue visit","")))</x:f>
      </x:c>
      <x:c r="M102" s="55"/>
      <x:c r="N102" s="2"/>
      <x:c r="O102" s="2"/>
      <x:c r="P102" s="2"/>
      <x:c r="Q102" s="2"/>
      <x:c r="R102" s="2"/>
      <x:c r="S102" s="2"/>
      <x:c r="T102" s="2"/>
      <x:c r="U102" s="2"/>
      <x:c r="V102" s="2"/>
      <x:c r="W102" s="2"/>
      <x:c r="X102" s="2"/>
      <x:c r="Y102" s="2"/>
      <x:c r="Z102" s="2"/>
    </x:row>
    <x:row r="103">
      <x:c r="A103" s="49"/>
      <x:c r="B103" s="58"/>
      <x:c r="C103" s="7"/>
      <x:c r="D103" s="7"/>
      <x:c r="E103" s="7"/>
      <x:c r="F103" s="7"/>
      <x:c r="G103" s="7"/>
      <x:c r="H103" s="63"/>
      <x:c r="I103" s="64"/>
      <x:c r="J103" s="62" t="str">
        <x:f>IF(A103="","",IF(G103="Cancelled",0,MAX(0,H103-I103)))</x:f>
      </x:c>
      <x:c r="K103" s="2" t="str">
        <x:f>IF(A103="","",IF(G103="Cancelled","No charge",IF(J103=0,"Paid",IF(I103&gt;0,"Partial","Unpaid"))))</x:f>
      </x:c>
      <x:c r="L103" s="2" t="str">
        <x:f>IF(A103="","",IF(AND(G103="Completed",J103&gt;0),"Collect balance",IF(AND(G103="Scheduled",B103&lt;TODAY()),"Review overdue visit","")))</x:f>
      </x:c>
      <x:c r="M103" s="55"/>
      <x:c r="N103" s="2"/>
      <x:c r="O103" s="2"/>
      <x:c r="P103" s="2"/>
      <x:c r="Q103" s="2"/>
      <x:c r="R103" s="2"/>
      <x:c r="S103" s="2"/>
      <x:c r="T103" s="2"/>
      <x:c r="U103" s="2"/>
      <x:c r="V103" s="2"/>
      <x:c r="W103" s="2"/>
      <x:c r="X103" s="2"/>
      <x:c r="Y103" s="2"/>
      <x:c r="Z103" s="2"/>
    </x:row>
    <x:row r="104">
      <x:c r="A104" s="49"/>
      <x:c r="B104" s="58"/>
      <x:c r="C104" s="7"/>
      <x:c r="D104" s="7"/>
      <x:c r="E104" s="7"/>
      <x:c r="F104" s="7"/>
      <x:c r="G104" s="7"/>
      <x:c r="H104" s="63"/>
      <x:c r="I104" s="64"/>
      <x:c r="J104" s="62" t="str">
        <x:f>IF(A104="","",IF(G104="Cancelled",0,MAX(0,H104-I104)))</x:f>
      </x:c>
      <x:c r="K104" s="2" t="str">
        <x:f>IF(A104="","",IF(G104="Cancelled","No charge",IF(J104=0,"Paid",IF(I104&gt;0,"Partial","Unpaid"))))</x:f>
      </x:c>
      <x:c r="L104" s="2" t="str">
        <x:f>IF(A104="","",IF(AND(G104="Completed",J104&gt;0),"Collect balance",IF(AND(G104="Scheduled",B104&lt;TODAY()),"Review overdue visit","")))</x:f>
      </x:c>
      <x:c r="M104" s="55"/>
      <x:c r="N104" s="2"/>
      <x:c r="O104" s="2"/>
      <x:c r="P104" s="2"/>
      <x:c r="Q104" s="2"/>
      <x:c r="R104" s="2"/>
      <x:c r="S104" s="2"/>
      <x:c r="T104" s="2"/>
      <x:c r="U104" s="2"/>
      <x:c r="V104" s="2"/>
      <x:c r="W104" s="2"/>
      <x:c r="X104" s="2"/>
      <x:c r="Y104" s="2"/>
      <x:c r="Z104" s="2"/>
    </x:row>
    <x:row r="105">
      <x:c r="A105" s="49"/>
      <x:c r="B105" s="58"/>
      <x:c r="C105" s="7"/>
      <x:c r="D105" s="7"/>
      <x:c r="E105" s="7"/>
      <x:c r="F105" s="7"/>
      <x:c r="G105" s="7"/>
      <x:c r="H105" s="63"/>
      <x:c r="I105" s="64"/>
      <x:c r="J105" s="62" t="str">
        <x:f>IF(A105="","",IF(G105="Cancelled",0,MAX(0,H105-I105)))</x:f>
      </x:c>
      <x:c r="K105" s="2" t="str">
        <x:f>IF(A105="","",IF(G105="Cancelled","No charge",IF(J105=0,"Paid",IF(I105&gt;0,"Partial","Unpaid"))))</x:f>
      </x:c>
      <x:c r="L105" s="2" t="str">
        <x:f>IF(A105="","",IF(AND(G105="Completed",J105&gt;0),"Collect balance",IF(AND(G105="Scheduled",B105&lt;TODAY()),"Review overdue visit","")))</x:f>
      </x:c>
      <x:c r="M105" s="55"/>
      <x:c r="N105" s="2"/>
      <x:c r="O105" s="2"/>
      <x:c r="P105" s="2"/>
      <x:c r="Q105" s="2"/>
      <x:c r="R105" s="2"/>
      <x:c r="S105" s="2"/>
      <x:c r="T105" s="2"/>
      <x:c r="U105" s="2"/>
      <x:c r="V105" s="2"/>
      <x:c r="W105" s="2"/>
      <x:c r="X105" s="2"/>
      <x:c r="Y105" s="2"/>
      <x:c r="Z105" s="2"/>
    </x:row>
    <x:row r="106">
      <x:c r="A106" s="51"/>
      <x:c r="B106" s="59"/>
      <x:c r="C106" s="52"/>
      <x:c r="D106" s="52"/>
      <x:c r="E106" s="52"/>
      <x:c r="F106" s="52"/>
      <x:c r="G106" s="52"/>
      <x:c r="H106" s="65"/>
      <x:c r="I106" s="66"/>
      <x:c r="J106" s="62" t="str">
        <x:f>IF(A106="","",IF(G106="Cancelled",0,MAX(0,H106-I106)))</x:f>
      </x:c>
      <x:c r="K106" s="2" t="str">
        <x:f>IF(A106="","",IF(G106="Cancelled","No charge",IF(J106=0,"Paid",IF(I106&gt;0,"Partial","Unpaid"))))</x:f>
      </x:c>
      <x:c r="L106" s="2" t="str">
        <x:f>IF(A106="","",IF(AND(G106="Completed",J106&gt;0),"Collect balance",IF(AND(G106="Scheduled",B106&lt;TODAY()),"Review overdue visit","")))</x:f>
      </x:c>
      <x:c r="M106" s="56"/>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sheetData>
  <x:mergeCells>
    <x:mergeCell ref="A2:M2"/>
    <x:mergeCell ref="A4:M4"/>
  </x:mergeCells>
  <x:conditionalFormatting sqref="G7:G106">
    <x:cfRule type="containsText" dxfId="0" priority="1" operator="containsText" text="Completed"/>
    <x:cfRule type="containsText" dxfId="1" priority="2" operator="containsText" text="Cancelled"/>
  </x:conditionalFormatting>
  <x:conditionalFormatting sqref="K7:K106">
    <x:cfRule type="containsText" dxfId="2" priority="3" operator="containsText" text="Unpaid"/>
    <x:cfRule type="containsText" dxfId="3" priority="4" operator="containsText" text="Partial"/>
  </x:conditionalFormatting>
  <x:dataValidations count="2">
    <x:dataValidation type="list" sqref="F7:F106">
      <x:formula1>Services!$A$7:$A$11</x:formula1>
    </x:dataValidation>
    <x:dataValidation type="list" sqref="G7:G106">
      <x:formula1>"Scheduled,Completed,Cancelled"</x:formula1>
    </x:dataValidation>
  </x:dataValidations>
  <x:pageMargins left="0.7" right="0.7" top="0.75" bottom="0.75" header="0.3" footer="0.3"/>
  <x:tableParts count="1">
    <x:tablePart xmlns:r="http://schemas.openxmlformats.org/officeDocument/2006/relationships" r:id="R59c22e3824fc4a8c"/>
  </x:tableParts>
</x:worksheet>
</file>

<file path=xl/worksheets/sheet3.xml><?xml version="1.0" encoding="utf-8"?>
<x:worksheet xmlns:x="http://schemas.openxmlformats.org/spreadsheetml/2006/main">
  <x:sheetPr>
    <x:tabColor rgb="FF2E6F95"/>
  </x:sheetPr>
  <x:sheetViews>
    <x:sheetView showGridLines="0" workbookViewId="0">
      <x:pane ySplit="6" topLeftCell="A7" activePane="bottomLeft" state="frozen"/>
    </x:sheetView>
  </x:sheetViews>
  <x:sheetFormatPr defaultRowHeight="15"/>
  <x:cols>
    <x:col min="1" max="1" width="17" hidden="0" customWidth="1"/>
    <x:col min="2" max="2" width="17" hidden="0" customWidth="1"/>
    <x:col min="3" max="3" width="17" hidden="0" customWidth="1"/>
    <x:col min="4" max="4" width="17" hidden="0" customWidth="1"/>
    <x:col min="5" max="5" width="17" hidden="0" customWidth="1"/>
    <x:col min="6" max="6" width="17" hidden="0" customWidth="1"/>
    <x:col min="7" max="7" width="27" hidden="0" customWidth="1"/>
    <x:col min="8" max="8" width="27"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x:c r="A2" s="3" t="str">
        <x:v>Clients &amp; Pets</x:v>
      </x:c>
      <x:c r="B2" s="2"/>
      <x:c r="C2" s="2"/>
      <x:c r="D2" s="2"/>
      <x:c r="E2" s="2"/>
      <x:c r="F2" s="2"/>
      <x:c r="G2" s="2"/>
      <x:c r="H2" s="2"/>
      <x:c r="I2" s="2"/>
      <x:c r="J2" s="2"/>
      <x:c r="K2" s="2"/>
      <x:c r="L2" s="2"/>
      <x:c r="M2" s="2"/>
      <x:c r="N2" s="2"/>
      <x:c r="O2" s="2"/>
      <x:c r="P2" s="2"/>
      <x:c r="Q2" s="2"/>
      <x:c r="R2" s="2"/>
      <x:c r="S2" s="2"/>
      <x:c r="T2" s="2"/>
      <x:c r="U2" s="2"/>
      <x:c r="V2" s="2"/>
      <x:c r="W2" s="2"/>
      <x:c r="X2" s="2"/>
      <x:c r="Y2" s="2"/>
      <x:c r="Z2" s="2"/>
    </x:row>
    <x:row r="3">
      <x:c r="A3" s="4"/>
      <x:c r="B3" s="4"/>
      <x:c r="C3" s="4"/>
      <x:c r="D3" s="4"/>
      <x:c r="E3" s="4"/>
      <x:c r="F3" s="4"/>
      <x:c r="G3" s="4"/>
      <x:c r="H3" s="4"/>
      <x:c r="I3" s="2"/>
      <x:c r="J3" s="2"/>
      <x:c r="K3" s="2"/>
      <x:c r="L3" s="2"/>
      <x:c r="M3" s="2"/>
      <x:c r="N3" s="2"/>
      <x:c r="O3" s="2"/>
      <x:c r="P3" s="2"/>
      <x:c r="Q3" s="2"/>
      <x:c r="R3" s="2"/>
      <x:c r="S3" s="2"/>
      <x:c r="T3" s="2"/>
      <x:c r="U3" s="2"/>
      <x:c r="V3" s="2"/>
      <x:c r="W3" s="2"/>
      <x:c r="X3" s="2"/>
      <x:c r="Y3" s="2"/>
      <x:c r="Z3" s="2"/>
    </x:row>
    <x:row r="4" ht="32" customHeight="1">
      <x:c r="A4" s="6" t="str">
        <x:v>Use non-secret labels and references. Keep access codes, addresses, financial data, and detailed health records elsewhere.</x:v>
      </x:c>
      <x:c r="B4" s="2"/>
      <x:c r="C4" s="2"/>
      <x:c r="D4" s="2"/>
      <x:c r="E4" s="2"/>
      <x:c r="F4" s="2"/>
      <x:c r="G4" s="2"/>
      <x:c r="H4" s="2"/>
      <x:c r="I4" s="2"/>
      <x:c r="J4" s="2"/>
      <x:c r="K4" s="2"/>
      <x:c r="L4" s="2"/>
      <x:c r="M4" s="2"/>
      <x:c r="N4" s="2"/>
      <x:c r="O4" s="2"/>
      <x:c r="P4" s="2"/>
      <x:c r="Q4" s="2"/>
      <x:c r="R4" s="2"/>
      <x:c r="S4" s="2"/>
      <x:c r="T4" s="2"/>
      <x:c r="U4" s="2"/>
      <x:c r="V4" s="2"/>
      <x:c r="W4" s="2"/>
      <x:c r="X4" s="2"/>
      <x:c r="Y4" s="2"/>
      <x:c r="Z4" s="2"/>
    </x:row>
    <x:row r="5">
      <x:c r="A5" s="2"/>
      <x:c r="B5" s="2"/>
      <x:c r="C5" s="2"/>
      <x:c r="D5" s="2"/>
      <x:c r="E5" s="2"/>
      <x:c r="F5" s="2"/>
      <x:c r="G5" s="2"/>
      <x:c r="H5" s="2"/>
      <x:c r="I5" s="2"/>
      <x:c r="J5" s="2"/>
      <x:c r="K5" s="2"/>
      <x:c r="L5" s="2"/>
      <x:c r="M5" s="2"/>
      <x:c r="N5" s="2"/>
      <x:c r="O5" s="2"/>
      <x:c r="P5" s="2"/>
      <x:c r="Q5" s="2"/>
      <x:c r="R5" s="2"/>
      <x:c r="S5" s="2"/>
      <x:c r="T5" s="2"/>
      <x:c r="U5" s="2"/>
      <x:c r="V5" s="2"/>
      <x:c r="W5" s="2"/>
      <x:c r="X5" s="2"/>
      <x:c r="Y5" s="2"/>
      <x:c r="Z5" s="2"/>
    </x:row>
    <x:row r="6" ht="30" customHeight="1">
      <x:c r="A6" s="43" t="str">
        <x:v>Pet ID</x:v>
      </x:c>
      <x:c r="B6" s="44" t="str">
        <x:v>Client ID</x:v>
      </x:c>
      <x:c r="C6" s="44" t="str">
        <x:v>Client label</x:v>
      </x:c>
      <x:c r="D6" s="44" t="str">
        <x:v>Pet label</x:v>
      </x:c>
      <x:c r="E6" s="44" t="str">
        <x:v>Species</x:v>
      </x:c>
      <x:c r="F6" s="44" t="str">
        <x:v>Service preference</x:v>
      </x:c>
      <x:c r="G6" s="44" t="str">
        <x:v>Care summary</x:v>
      </x:c>
      <x:c r="H6" s="45" t="str">
        <x:v>Emergency plan reference</x:v>
      </x:c>
      <x:c r="I6" s="2"/>
      <x:c r="J6" s="2"/>
      <x:c r="K6" s="2"/>
      <x:c r="L6" s="2"/>
      <x:c r="M6" s="2"/>
      <x:c r="N6" s="2"/>
      <x:c r="O6" s="2"/>
      <x:c r="P6" s="2"/>
      <x:c r="Q6" s="2"/>
      <x:c r="R6" s="2"/>
      <x:c r="S6" s="2"/>
      <x:c r="T6" s="2"/>
      <x:c r="U6" s="2"/>
      <x:c r="V6" s="2"/>
      <x:c r="W6" s="2"/>
      <x:c r="X6" s="2"/>
      <x:c r="Y6" s="2"/>
      <x:c r="Z6" s="2"/>
    </x:row>
    <x:row r="7" ht="30" customHeight="1">
      <x:c r="A7" s="46" t="str">
        <x:v>SAMPLE-P001</x:v>
      </x:c>
      <x:c r="B7" s="47" t="str">
        <x:v>SAMPLE-C001</x:v>
      </x:c>
      <x:c r="C7" s="47" t="str">
        <x:v>Sample Client A</x:v>
      </x:c>
      <x:c r="D7" s="47" t="str">
        <x:v>Sample Pet A</x:v>
      </x:c>
      <x:c r="E7" s="47" t="str">
        <x:v>Dog</x:v>
      </x:c>
      <x:c r="F7" s="47" t="str">
        <x:v>30-min dog walk</x:v>
      </x:c>
      <x:c r="G7" s="67" t="str">
        <x:v>SAMPLE — use approved harness</x:v>
      </x:c>
      <x:c r="H7" s="68" t="str">
        <x:v>SAMPLE-PLAN-001</x:v>
      </x:c>
      <x:c r="I7" s="2"/>
      <x:c r="J7" s="2"/>
      <x:c r="K7" s="2"/>
      <x:c r="L7" s="2"/>
      <x:c r="M7" s="2"/>
      <x:c r="N7" s="2"/>
      <x:c r="O7" s="2"/>
      <x:c r="P7" s="2"/>
      <x:c r="Q7" s="2"/>
      <x:c r="R7" s="2"/>
      <x:c r="S7" s="2"/>
      <x:c r="T7" s="2"/>
      <x:c r="U7" s="2"/>
      <x:c r="V7" s="2"/>
      <x:c r="W7" s="2"/>
      <x:c r="X7" s="2"/>
      <x:c r="Y7" s="2"/>
      <x:c r="Z7" s="2"/>
    </x:row>
    <x:row r="8" ht="30" customHeight="1">
      <x:c r="A8" s="49" t="str">
        <x:v>SAMPLE-P002</x:v>
      </x:c>
      <x:c r="B8" s="7" t="str">
        <x:v>SAMPLE-C002</x:v>
      </x:c>
      <x:c r="C8" s="7" t="str">
        <x:v>Sample Client B</x:v>
      </x:c>
      <x:c r="D8" s="7" t="str">
        <x:v>Sample Pet B</x:v>
      </x:c>
      <x:c r="E8" s="7" t="str">
        <x:v>Cat</x:v>
      </x:c>
      <x:c r="F8" s="7" t="str">
        <x:v>Drop-in visit</x:v>
      </x:c>
      <x:c r="G8" s="69" t="str">
        <x:v>SAMPLE — feed per signed instructions</x:v>
      </x:c>
      <x:c r="H8" s="70" t="str">
        <x:v>SAMPLE-PLAN-002</x:v>
      </x:c>
      <x:c r="I8" s="2"/>
      <x:c r="J8" s="2"/>
      <x:c r="K8" s="2"/>
      <x:c r="L8" s="2"/>
      <x:c r="M8" s="2"/>
      <x:c r="N8" s="2"/>
      <x:c r="O8" s="2"/>
      <x:c r="P8" s="2"/>
      <x:c r="Q8" s="2"/>
      <x:c r="R8" s="2"/>
      <x:c r="S8" s="2"/>
      <x:c r="T8" s="2"/>
      <x:c r="U8" s="2"/>
      <x:c r="V8" s="2"/>
      <x:c r="W8" s="2"/>
      <x:c r="X8" s="2"/>
      <x:c r="Y8" s="2"/>
      <x:c r="Z8" s="2"/>
    </x:row>
    <x:row r="9" ht="30" customHeight="1">
      <x:c r="A9" s="49" t="str">
        <x:v>SAMPLE-P003</x:v>
      </x:c>
      <x:c r="B9" s="7" t="str">
        <x:v>SAMPLE-C003</x:v>
      </x:c>
      <x:c r="C9" s="7" t="str">
        <x:v>Sample Client C</x:v>
      </x:c>
      <x:c r="D9" s="7" t="str">
        <x:v>Sample Pet C</x:v>
      </x:c>
      <x:c r="E9" s="7" t="str">
        <x:v>Dog</x:v>
      </x:c>
      <x:c r="F9" s="7" t="str">
        <x:v>60-min dog walk</x:v>
      </x:c>
      <x:c r="G9" s="69" t="str">
        <x:v>SAMPLE — quiet route preferred</x:v>
      </x:c>
      <x:c r="H9" s="70" t="str">
        <x:v>SAMPLE-PLAN-003</x:v>
      </x:c>
      <x:c r="I9" s="2"/>
      <x:c r="J9" s="2"/>
      <x:c r="K9" s="2"/>
      <x:c r="L9" s="2"/>
      <x:c r="M9" s="2"/>
      <x:c r="N9" s="2"/>
      <x:c r="O9" s="2"/>
      <x:c r="P9" s="2"/>
      <x:c r="Q9" s="2"/>
      <x:c r="R9" s="2"/>
      <x:c r="S9" s="2"/>
      <x:c r="T9" s="2"/>
      <x:c r="U9" s="2"/>
      <x:c r="V9" s="2"/>
      <x:c r="W9" s="2"/>
      <x:c r="X9" s="2"/>
      <x:c r="Y9" s="2"/>
      <x:c r="Z9" s="2"/>
    </x:row>
    <x:row r="10">
      <x:c r="A10" s="49"/>
      <x:c r="B10" s="7"/>
      <x:c r="C10" s="7"/>
      <x:c r="D10" s="7"/>
      <x:c r="E10" s="7"/>
      <x:c r="F10" s="7"/>
      <x:c r="G10" s="69"/>
      <x:c r="H10" s="70"/>
      <x:c r="I10" s="2"/>
      <x:c r="J10" s="2"/>
      <x:c r="K10" s="2"/>
      <x:c r="L10" s="2"/>
      <x:c r="M10" s="2"/>
      <x:c r="N10" s="2"/>
      <x:c r="O10" s="2"/>
      <x:c r="P10" s="2"/>
      <x:c r="Q10" s="2"/>
      <x:c r="R10" s="2"/>
      <x:c r="S10" s="2"/>
      <x:c r="T10" s="2"/>
      <x:c r="U10" s="2"/>
      <x:c r="V10" s="2"/>
      <x:c r="W10" s="2"/>
      <x:c r="X10" s="2"/>
      <x:c r="Y10" s="2"/>
      <x:c r="Z10" s="2"/>
    </x:row>
    <x:row r="11">
      <x:c r="A11" s="49"/>
      <x:c r="B11" s="7"/>
      <x:c r="C11" s="7"/>
      <x:c r="D11" s="7"/>
      <x:c r="E11" s="7"/>
      <x:c r="F11" s="7"/>
      <x:c r="G11" s="69"/>
      <x:c r="H11" s="70"/>
      <x:c r="I11" s="2"/>
      <x:c r="J11" s="2"/>
      <x:c r="K11" s="2"/>
      <x:c r="L11" s="2"/>
      <x:c r="M11" s="2"/>
      <x:c r="N11" s="2"/>
      <x:c r="O11" s="2"/>
      <x:c r="P11" s="2"/>
      <x:c r="Q11" s="2"/>
      <x:c r="R11" s="2"/>
      <x:c r="S11" s="2"/>
      <x:c r="T11" s="2"/>
      <x:c r="U11" s="2"/>
      <x:c r="V11" s="2"/>
      <x:c r="W11" s="2"/>
      <x:c r="X11" s="2"/>
      <x:c r="Y11" s="2"/>
      <x:c r="Z11" s="2"/>
    </x:row>
    <x:row r="12">
      <x:c r="A12" s="49"/>
      <x:c r="B12" s="7"/>
      <x:c r="C12" s="7"/>
      <x:c r="D12" s="7"/>
      <x:c r="E12" s="7"/>
      <x:c r="F12" s="7"/>
      <x:c r="G12" s="69"/>
      <x:c r="H12" s="70"/>
      <x:c r="I12" s="2"/>
      <x:c r="J12" s="2"/>
      <x:c r="K12" s="2"/>
      <x:c r="L12" s="2"/>
      <x:c r="M12" s="2"/>
      <x:c r="N12" s="2"/>
      <x:c r="O12" s="2"/>
      <x:c r="P12" s="2"/>
      <x:c r="Q12" s="2"/>
      <x:c r="R12" s="2"/>
      <x:c r="S12" s="2"/>
      <x:c r="T12" s="2"/>
      <x:c r="U12" s="2"/>
      <x:c r="V12" s="2"/>
      <x:c r="W12" s="2"/>
      <x:c r="X12" s="2"/>
      <x:c r="Y12" s="2"/>
      <x:c r="Z12" s="2"/>
    </x:row>
    <x:row r="13">
      <x:c r="A13" s="49"/>
      <x:c r="B13" s="7"/>
      <x:c r="C13" s="7"/>
      <x:c r="D13" s="7"/>
      <x:c r="E13" s="7"/>
      <x:c r="F13" s="7"/>
      <x:c r="G13" s="69"/>
      <x:c r="H13" s="70"/>
      <x:c r="I13" s="2"/>
      <x:c r="J13" s="2"/>
      <x:c r="K13" s="2"/>
      <x:c r="L13" s="2"/>
      <x:c r="M13" s="2"/>
      <x:c r="N13" s="2"/>
      <x:c r="O13" s="2"/>
      <x:c r="P13" s="2"/>
      <x:c r="Q13" s="2"/>
      <x:c r="R13" s="2"/>
      <x:c r="S13" s="2"/>
      <x:c r="T13" s="2"/>
      <x:c r="U13" s="2"/>
      <x:c r="V13" s="2"/>
      <x:c r="W13" s="2"/>
      <x:c r="X13" s="2"/>
      <x:c r="Y13" s="2"/>
      <x:c r="Z13" s="2"/>
    </x:row>
    <x:row r="14">
      <x:c r="A14" s="49"/>
      <x:c r="B14" s="7"/>
      <x:c r="C14" s="7"/>
      <x:c r="D14" s="7"/>
      <x:c r="E14" s="7"/>
      <x:c r="F14" s="7"/>
      <x:c r="G14" s="69"/>
      <x:c r="H14" s="70"/>
      <x:c r="I14" s="2"/>
      <x:c r="J14" s="2"/>
      <x:c r="K14" s="2"/>
      <x:c r="L14" s="2"/>
      <x:c r="M14" s="2"/>
      <x:c r="N14" s="2"/>
      <x:c r="O14" s="2"/>
      <x:c r="P14" s="2"/>
      <x:c r="Q14" s="2"/>
      <x:c r="R14" s="2"/>
      <x:c r="S14" s="2"/>
      <x:c r="T14" s="2"/>
      <x:c r="U14" s="2"/>
      <x:c r="V14" s="2"/>
      <x:c r="W14" s="2"/>
      <x:c r="X14" s="2"/>
      <x:c r="Y14" s="2"/>
      <x:c r="Z14" s="2"/>
    </x:row>
    <x:row r="15">
      <x:c r="A15" s="49"/>
      <x:c r="B15" s="7"/>
      <x:c r="C15" s="7"/>
      <x:c r="D15" s="7"/>
      <x:c r="E15" s="7"/>
      <x:c r="F15" s="7"/>
      <x:c r="G15" s="69"/>
      <x:c r="H15" s="70"/>
      <x:c r="I15" s="2"/>
      <x:c r="J15" s="2"/>
      <x:c r="K15" s="2"/>
      <x:c r="L15" s="2"/>
      <x:c r="M15" s="2"/>
      <x:c r="N15" s="2"/>
      <x:c r="O15" s="2"/>
      <x:c r="P15" s="2"/>
      <x:c r="Q15" s="2"/>
      <x:c r="R15" s="2"/>
      <x:c r="S15" s="2"/>
      <x:c r="T15" s="2"/>
      <x:c r="U15" s="2"/>
      <x:c r="V15" s="2"/>
      <x:c r="W15" s="2"/>
      <x:c r="X15" s="2"/>
      <x:c r="Y15" s="2"/>
      <x:c r="Z15" s="2"/>
    </x:row>
    <x:row r="16">
      <x:c r="A16" s="49"/>
      <x:c r="B16" s="7"/>
      <x:c r="C16" s="7"/>
      <x:c r="D16" s="7"/>
      <x:c r="E16" s="7"/>
      <x:c r="F16" s="7"/>
      <x:c r="G16" s="69"/>
      <x:c r="H16" s="70"/>
      <x:c r="I16" s="2"/>
      <x:c r="J16" s="2"/>
      <x:c r="K16" s="2"/>
      <x:c r="L16" s="2"/>
      <x:c r="M16" s="2"/>
      <x:c r="N16" s="2"/>
      <x:c r="O16" s="2"/>
      <x:c r="P16" s="2"/>
      <x:c r="Q16" s="2"/>
      <x:c r="R16" s="2"/>
      <x:c r="S16" s="2"/>
      <x:c r="T16" s="2"/>
      <x:c r="U16" s="2"/>
      <x:c r="V16" s="2"/>
      <x:c r="W16" s="2"/>
      <x:c r="X16" s="2"/>
      <x:c r="Y16" s="2"/>
      <x:c r="Z16" s="2"/>
    </x:row>
    <x:row r="17">
      <x:c r="A17" s="49"/>
      <x:c r="B17" s="7"/>
      <x:c r="C17" s="7"/>
      <x:c r="D17" s="7"/>
      <x:c r="E17" s="7"/>
      <x:c r="F17" s="7"/>
      <x:c r="G17" s="69"/>
      <x:c r="H17" s="70"/>
      <x:c r="I17" s="2"/>
      <x:c r="J17" s="2"/>
      <x:c r="K17" s="2"/>
      <x:c r="L17" s="2"/>
      <x:c r="M17" s="2"/>
      <x:c r="N17" s="2"/>
      <x:c r="O17" s="2"/>
      <x:c r="P17" s="2"/>
      <x:c r="Q17" s="2"/>
      <x:c r="R17" s="2"/>
      <x:c r="S17" s="2"/>
      <x:c r="T17" s="2"/>
      <x:c r="U17" s="2"/>
      <x:c r="V17" s="2"/>
      <x:c r="W17" s="2"/>
      <x:c r="X17" s="2"/>
      <x:c r="Y17" s="2"/>
      <x:c r="Z17" s="2"/>
    </x:row>
    <x:row r="18">
      <x:c r="A18" s="49"/>
      <x:c r="B18" s="7"/>
      <x:c r="C18" s="7"/>
      <x:c r="D18" s="7"/>
      <x:c r="E18" s="7"/>
      <x:c r="F18" s="7"/>
      <x:c r="G18" s="69"/>
      <x:c r="H18" s="70"/>
      <x:c r="I18" s="2"/>
      <x:c r="J18" s="2"/>
      <x:c r="K18" s="2"/>
      <x:c r="L18" s="2"/>
      <x:c r="M18" s="2"/>
      <x:c r="N18" s="2"/>
      <x:c r="O18" s="2"/>
      <x:c r="P18" s="2"/>
      <x:c r="Q18" s="2"/>
      <x:c r="R18" s="2"/>
      <x:c r="S18" s="2"/>
      <x:c r="T18" s="2"/>
      <x:c r="U18" s="2"/>
      <x:c r="V18" s="2"/>
      <x:c r="W18" s="2"/>
      <x:c r="X18" s="2"/>
      <x:c r="Y18" s="2"/>
      <x:c r="Z18" s="2"/>
    </x:row>
    <x:row r="19">
      <x:c r="A19" s="49"/>
      <x:c r="B19" s="7"/>
      <x:c r="C19" s="7"/>
      <x:c r="D19" s="7"/>
      <x:c r="E19" s="7"/>
      <x:c r="F19" s="7"/>
      <x:c r="G19" s="69"/>
      <x:c r="H19" s="70"/>
      <x:c r="I19" s="2"/>
      <x:c r="J19" s="2"/>
      <x:c r="K19" s="2"/>
      <x:c r="L19" s="2"/>
      <x:c r="M19" s="2"/>
      <x:c r="N19" s="2"/>
      <x:c r="O19" s="2"/>
      <x:c r="P19" s="2"/>
      <x:c r="Q19" s="2"/>
      <x:c r="R19" s="2"/>
      <x:c r="S19" s="2"/>
      <x:c r="T19" s="2"/>
      <x:c r="U19" s="2"/>
      <x:c r="V19" s="2"/>
      <x:c r="W19" s="2"/>
      <x:c r="X19" s="2"/>
      <x:c r="Y19" s="2"/>
      <x:c r="Z19" s="2"/>
    </x:row>
    <x:row r="20">
      <x:c r="A20" s="49"/>
      <x:c r="B20" s="7"/>
      <x:c r="C20" s="7"/>
      <x:c r="D20" s="7"/>
      <x:c r="E20" s="7"/>
      <x:c r="F20" s="7"/>
      <x:c r="G20" s="69"/>
      <x:c r="H20" s="70"/>
      <x:c r="I20" s="2"/>
      <x:c r="J20" s="2"/>
      <x:c r="K20" s="2"/>
      <x:c r="L20" s="2"/>
      <x:c r="M20" s="2"/>
      <x:c r="N20" s="2"/>
      <x:c r="O20" s="2"/>
      <x:c r="P20" s="2"/>
      <x:c r="Q20" s="2"/>
      <x:c r="R20" s="2"/>
      <x:c r="S20" s="2"/>
      <x:c r="T20" s="2"/>
      <x:c r="U20" s="2"/>
      <x:c r="V20" s="2"/>
      <x:c r="W20" s="2"/>
      <x:c r="X20" s="2"/>
      <x:c r="Y20" s="2"/>
      <x:c r="Z20" s="2"/>
    </x:row>
    <x:row r="21">
      <x:c r="A21" s="49"/>
      <x:c r="B21" s="7"/>
      <x:c r="C21" s="7"/>
      <x:c r="D21" s="7"/>
      <x:c r="E21" s="7"/>
      <x:c r="F21" s="7"/>
      <x:c r="G21" s="69"/>
      <x:c r="H21" s="70"/>
      <x:c r="I21" s="2"/>
      <x:c r="J21" s="2"/>
      <x:c r="K21" s="2"/>
      <x:c r="L21" s="2"/>
      <x:c r="M21" s="2"/>
      <x:c r="N21" s="2"/>
      <x:c r="O21" s="2"/>
      <x:c r="P21" s="2"/>
      <x:c r="Q21" s="2"/>
      <x:c r="R21" s="2"/>
      <x:c r="S21" s="2"/>
      <x:c r="T21" s="2"/>
      <x:c r="U21" s="2"/>
      <x:c r="V21" s="2"/>
      <x:c r="W21" s="2"/>
      <x:c r="X21" s="2"/>
      <x:c r="Y21" s="2"/>
      <x:c r="Z21" s="2"/>
    </x:row>
    <x:row r="22">
      <x:c r="A22" s="49"/>
      <x:c r="B22" s="7"/>
      <x:c r="C22" s="7"/>
      <x:c r="D22" s="7"/>
      <x:c r="E22" s="7"/>
      <x:c r="F22" s="7"/>
      <x:c r="G22" s="69"/>
      <x:c r="H22" s="70"/>
      <x:c r="I22" s="2"/>
      <x:c r="J22" s="2"/>
      <x:c r="K22" s="2"/>
      <x:c r="L22" s="2"/>
      <x:c r="M22" s="2"/>
      <x:c r="N22" s="2"/>
      <x:c r="O22" s="2"/>
      <x:c r="P22" s="2"/>
      <x:c r="Q22" s="2"/>
      <x:c r="R22" s="2"/>
      <x:c r="S22" s="2"/>
      <x:c r="T22" s="2"/>
      <x:c r="U22" s="2"/>
      <x:c r="V22" s="2"/>
      <x:c r="W22" s="2"/>
      <x:c r="X22" s="2"/>
      <x:c r="Y22" s="2"/>
      <x:c r="Z22" s="2"/>
    </x:row>
    <x:row r="23">
      <x:c r="A23" s="49"/>
      <x:c r="B23" s="7"/>
      <x:c r="C23" s="7"/>
      <x:c r="D23" s="7"/>
      <x:c r="E23" s="7"/>
      <x:c r="F23" s="7"/>
      <x:c r="G23" s="69"/>
      <x:c r="H23" s="70"/>
      <x:c r="I23" s="2"/>
      <x:c r="J23" s="2"/>
      <x:c r="K23" s="2"/>
      <x:c r="L23" s="2"/>
      <x:c r="M23" s="2"/>
      <x:c r="N23" s="2"/>
      <x:c r="O23" s="2"/>
      <x:c r="P23" s="2"/>
      <x:c r="Q23" s="2"/>
      <x:c r="R23" s="2"/>
      <x:c r="S23" s="2"/>
      <x:c r="T23" s="2"/>
      <x:c r="U23" s="2"/>
      <x:c r="V23" s="2"/>
      <x:c r="W23" s="2"/>
      <x:c r="X23" s="2"/>
      <x:c r="Y23" s="2"/>
      <x:c r="Z23" s="2"/>
    </x:row>
    <x:row r="24">
      <x:c r="A24" s="49"/>
      <x:c r="B24" s="7"/>
      <x:c r="C24" s="7"/>
      <x:c r="D24" s="7"/>
      <x:c r="E24" s="7"/>
      <x:c r="F24" s="7"/>
      <x:c r="G24" s="69"/>
      <x:c r="H24" s="70"/>
      <x:c r="I24" s="2"/>
      <x:c r="J24" s="2"/>
      <x:c r="K24" s="2"/>
      <x:c r="L24" s="2"/>
      <x:c r="M24" s="2"/>
      <x:c r="N24" s="2"/>
      <x:c r="O24" s="2"/>
      <x:c r="P24" s="2"/>
      <x:c r="Q24" s="2"/>
      <x:c r="R24" s="2"/>
      <x:c r="S24" s="2"/>
      <x:c r="T24" s="2"/>
      <x:c r="U24" s="2"/>
      <x:c r="V24" s="2"/>
      <x:c r="W24" s="2"/>
      <x:c r="X24" s="2"/>
      <x:c r="Y24" s="2"/>
      <x:c r="Z24" s="2"/>
    </x:row>
    <x:row r="25">
      <x:c r="A25" s="49"/>
      <x:c r="B25" s="7"/>
      <x:c r="C25" s="7"/>
      <x:c r="D25" s="7"/>
      <x:c r="E25" s="7"/>
      <x:c r="F25" s="7"/>
      <x:c r="G25" s="69"/>
      <x:c r="H25" s="70"/>
      <x:c r="I25" s="2"/>
      <x:c r="J25" s="2"/>
      <x:c r="K25" s="2"/>
      <x:c r="L25" s="2"/>
      <x:c r="M25" s="2"/>
      <x:c r="N25" s="2"/>
      <x:c r="O25" s="2"/>
      <x:c r="P25" s="2"/>
      <x:c r="Q25" s="2"/>
      <x:c r="R25" s="2"/>
      <x:c r="S25" s="2"/>
      <x:c r="T25" s="2"/>
      <x:c r="U25" s="2"/>
      <x:c r="V25" s="2"/>
      <x:c r="W25" s="2"/>
      <x:c r="X25" s="2"/>
      <x:c r="Y25" s="2"/>
      <x:c r="Z25" s="2"/>
    </x:row>
    <x:row r="26">
      <x:c r="A26" s="49"/>
      <x:c r="B26" s="7"/>
      <x:c r="C26" s="7"/>
      <x:c r="D26" s="7"/>
      <x:c r="E26" s="7"/>
      <x:c r="F26" s="7"/>
      <x:c r="G26" s="69"/>
      <x:c r="H26" s="70"/>
      <x:c r="I26" s="2"/>
      <x:c r="J26" s="2"/>
      <x:c r="K26" s="2"/>
      <x:c r="L26" s="2"/>
      <x:c r="M26" s="2"/>
      <x:c r="N26" s="2"/>
      <x:c r="O26" s="2"/>
      <x:c r="P26" s="2"/>
      <x:c r="Q26" s="2"/>
      <x:c r="R26" s="2"/>
      <x:c r="S26" s="2"/>
      <x:c r="T26" s="2"/>
      <x:c r="U26" s="2"/>
      <x:c r="V26" s="2"/>
      <x:c r="W26" s="2"/>
      <x:c r="X26" s="2"/>
      <x:c r="Y26" s="2"/>
      <x:c r="Z26" s="2"/>
    </x:row>
    <x:row r="27">
      <x:c r="A27" s="49"/>
      <x:c r="B27" s="7"/>
      <x:c r="C27" s="7"/>
      <x:c r="D27" s="7"/>
      <x:c r="E27" s="7"/>
      <x:c r="F27" s="7"/>
      <x:c r="G27" s="69"/>
      <x:c r="H27" s="70"/>
      <x:c r="I27" s="2"/>
      <x:c r="J27" s="2"/>
      <x:c r="K27" s="2"/>
      <x:c r="L27" s="2"/>
      <x:c r="M27" s="2"/>
      <x:c r="N27" s="2"/>
      <x:c r="O27" s="2"/>
      <x:c r="P27" s="2"/>
      <x:c r="Q27" s="2"/>
      <x:c r="R27" s="2"/>
      <x:c r="S27" s="2"/>
      <x:c r="T27" s="2"/>
      <x:c r="U27" s="2"/>
      <x:c r="V27" s="2"/>
      <x:c r="W27" s="2"/>
      <x:c r="X27" s="2"/>
      <x:c r="Y27" s="2"/>
      <x:c r="Z27" s="2"/>
    </x:row>
    <x:row r="28">
      <x:c r="A28" s="49"/>
      <x:c r="B28" s="7"/>
      <x:c r="C28" s="7"/>
      <x:c r="D28" s="7"/>
      <x:c r="E28" s="7"/>
      <x:c r="F28" s="7"/>
      <x:c r="G28" s="69"/>
      <x:c r="H28" s="70"/>
      <x:c r="I28" s="2"/>
      <x:c r="J28" s="2"/>
      <x:c r="K28" s="2"/>
      <x:c r="L28" s="2"/>
      <x:c r="M28" s="2"/>
      <x:c r="N28" s="2"/>
      <x:c r="O28" s="2"/>
      <x:c r="P28" s="2"/>
      <x:c r="Q28" s="2"/>
      <x:c r="R28" s="2"/>
      <x:c r="S28" s="2"/>
      <x:c r="T28" s="2"/>
      <x:c r="U28" s="2"/>
      <x:c r="V28" s="2"/>
      <x:c r="W28" s="2"/>
      <x:c r="X28" s="2"/>
      <x:c r="Y28" s="2"/>
      <x:c r="Z28" s="2"/>
    </x:row>
    <x:row r="29">
      <x:c r="A29" s="49"/>
      <x:c r="B29" s="7"/>
      <x:c r="C29" s="7"/>
      <x:c r="D29" s="7"/>
      <x:c r="E29" s="7"/>
      <x:c r="F29" s="7"/>
      <x:c r="G29" s="69"/>
      <x:c r="H29" s="70"/>
      <x:c r="I29" s="2"/>
      <x:c r="J29" s="2"/>
      <x:c r="K29" s="2"/>
      <x:c r="L29" s="2"/>
      <x:c r="M29" s="2"/>
      <x:c r="N29" s="2"/>
      <x:c r="O29" s="2"/>
      <x:c r="P29" s="2"/>
      <x:c r="Q29" s="2"/>
      <x:c r="R29" s="2"/>
      <x:c r="S29" s="2"/>
      <x:c r="T29" s="2"/>
      <x:c r="U29" s="2"/>
      <x:c r="V29" s="2"/>
      <x:c r="W29" s="2"/>
      <x:c r="X29" s="2"/>
      <x:c r="Y29" s="2"/>
      <x:c r="Z29" s="2"/>
    </x:row>
    <x:row r="30">
      <x:c r="A30" s="49"/>
      <x:c r="B30" s="7"/>
      <x:c r="C30" s="7"/>
      <x:c r="D30" s="7"/>
      <x:c r="E30" s="7"/>
      <x:c r="F30" s="7"/>
      <x:c r="G30" s="69"/>
      <x:c r="H30" s="70"/>
      <x:c r="I30" s="2"/>
      <x:c r="J30" s="2"/>
      <x:c r="K30" s="2"/>
      <x:c r="L30" s="2"/>
      <x:c r="M30" s="2"/>
      <x:c r="N30" s="2"/>
      <x:c r="O30" s="2"/>
      <x:c r="P30" s="2"/>
      <x:c r="Q30" s="2"/>
      <x:c r="R30" s="2"/>
      <x:c r="S30" s="2"/>
      <x:c r="T30" s="2"/>
      <x:c r="U30" s="2"/>
      <x:c r="V30" s="2"/>
      <x:c r="W30" s="2"/>
      <x:c r="X30" s="2"/>
      <x:c r="Y30" s="2"/>
      <x:c r="Z30" s="2"/>
    </x:row>
    <x:row r="31">
      <x:c r="A31" s="49"/>
      <x:c r="B31" s="7"/>
      <x:c r="C31" s="7"/>
      <x:c r="D31" s="7"/>
      <x:c r="E31" s="7"/>
      <x:c r="F31" s="7"/>
      <x:c r="G31" s="69"/>
      <x:c r="H31" s="70"/>
      <x:c r="I31" s="2"/>
      <x:c r="J31" s="2"/>
      <x:c r="K31" s="2"/>
      <x:c r="L31" s="2"/>
      <x:c r="M31" s="2"/>
      <x:c r="N31" s="2"/>
      <x:c r="O31" s="2"/>
      <x:c r="P31" s="2"/>
      <x:c r="Q31" s="2"/>
      <x:c r="R31" s="2"/>
      <x:c r="S31" s="2"/>
      <x:c r="T31" s="2"/>
      <x:c r="U31" s="2"/>
      <x:c r="V31" s="2"/>
      <x:c r="W31" s="2"/>
      <x:c r="X31" s="2"/>
      <x:c r="Y31" s="2"/>
      <x:c r="Z31" s="2"/>
    </x:row>
    <x:row r="32">
      <x:c r="A32" s="49"/>
      <x:c r="B32" s="7"/>
      <x:c r="C32" s="7"/>
      <x:c r="D32" s="7"/>
      <x:c r="E32" s="7"/>
      <x:c r="F32" s="7"/>
      <x:c r="G32" s="69"/>
      <x:c r="H32" s="70"/>
      <x:c r="I32" s="2"/>
      <x:c r="J32" s="2"/>
      <x:c r="K32" s="2"/>
      <x:c r="L32" s="2"/>
      <x:c r="M32" s="2"/>
      <x:c r="N32" s="2"/>
      <x:c r="O32" s="2"/>
      <x:c r="P32" s="2"/>
      <x:c r="Q32" s="2"/>
      <x:c r="R32" s="2"/>
      <x:c r="S32" s="2"/>
      <x:c r="T32" s="2"/>
      <x:c r="U32" s="2"/>
      <x:c r="V32" s="2"/>
      <x:c r="W32" s="2"/>
      <x:c r="X32" s="2"/>
      <x:c r="Y32" s="2"/>
      <x:c r="Z32" s="2"/>
    </x:row>
    <x:row r="33">
      <x:c r="A33" s="49"/>
      <x:c r="B33" s="7"/>
      <x:c r="C33" s="7"/>
      <x:c r="D33" s="7"/>
      <x:c r="E33" s="7"/>
      <x:c r="F33" s="7"/>
      <x:c r="G33" s="69"/>
      <x:c r="H33" s="70"/>
      <x:c r="I33" s="2"/>
      <x:c r="J33" s="2"/>
      <x:c r="K33" s="2"/>
      <x:c r="L33" s="2"/>
      <x:c r="M33" s="2"/>
      <x:c r="N33" s="2"/>
      <x:c r="O33" s="2"/>
      <x:c r="P33" s="2"/>
      <x:c r="Q33" s="2"/>
      <x:c r="R33" s="2"/>
      <x:c r="S33" s="2"/>
      <x:c r="T33" s="2"/>
      <x:c r="U33" s="2"/>
      <x:c r="V33" s="2"/>
      <x:c r="W33" s="2"/>
      <x:c r="X33" s="2"/>
      <x:c r="Y33" s="2"/>
      <x:c r="Z33" s="2"/>
    </x:row>
    <x:row r="34">
      <x:c r="A34" s="49"/>
      <x:c r="B34" s="7"/>
      <x:c r="C34" s="7"/>
      <x:c r="D34" s="7"/>
      <x:c r="E34" s="7"/>
      <x:c r="F34" s="7"/>
      <x:c r="G34" s="69"/>
      <x:c r="H34" s="70"/>
      <x:c r="I34" s="2"/>
      <x:c r="J34" s="2"/>
      <x:c r="K34" s="2"/>
      <x:c r="L34" s="2"/>
      <x:c r="M34" s="2"/>
      <x:c r="N34" s="2"/>
      <x:c r="O34" s="2"/>
      <x:c r="P34" s="2"/>
      <x:c r="Q34" s="2"/>
      <x:c r="R34" s="2"/>
      <x:c r="S34" s="2"/>
      <x:c r="T34" s="2"/>
      <x:c r="U34" s="2"/>
      <x:c r="V34" s="2"/>
      <x:c r="W34" s="2"/>
      <x:c r="X34" s="2"/>
      <x:c r="Y34" s="2"/>
      <x:c r="Z34" s="2"/>
    </x:row>
    <x:row r="35">
      <x:c r="A35" s="49"/>
      <x:c r="B35" s="7"/>
      <x:c r="C35" s="7"/>
      <x:c r="D35" s="7"/>
      <x:c r="E35" s="7"/>
      <x:c r="F35" s="7"/>
      <x:c r="G35" s="69"/>
      <x:c r="H35" s="70"/>
      <x:c r="I35" s="2"/>
      <x:c r="J35" s="2"/>
      <x:c r="K35" s="2"/>
      <x:c r="L35" s="2"/>
      <x:c r="M35" s="2"/>
      <x:c r="N35" s="2"/>
      <x:c r="O35" s="2"/>
      <x:c r="P35" s="2"/>
      <x:c r="Q35" s="2"/>
      <x:c r="R35" s="2"/>
      <x:c r="S35" s="2"/>
      <x:c r="T35" s="2"/>
      <x:c r="U35" s="2"/>
      <x:c r="V35" s="2"/>
      <x:c r="W35" s="2"/>
      <x:c r="X35" s="2"/>
      <x:c r="Y35" s="2"/>
      <x:c r="Z35" s="2"/>
    </x:row>
    <x:row r="36">
      <x:c r="A36" s="49"/>
      <x:c r="B36" s="7"/>
      <x:c r="C36" s="7"/>
      <x:c r="D36" s="7"/>
      <x:c r="E36" s="7"/>
      <x:c r="F36" s="7"/>
      <x:c r="G36" s="69"/>
      <x:c r="H36" s="70"/>
      <x:c r="I36" s="2"/>
      <x:c r="J36" s="2"/>
      <x:c r="K36" s="2"/>
      <x:c r="L36" s="2"/>
      <x:c r="M36" s="2"/>
      <x:c r="N36" s="2"/>
      <x:c r="O36" s="2"/>
      <x:c r="P36" s="2"/>
      <x:c r="Q36" s="2"/>
      <x:c r="R36" s="2"/>
      <x:c r="S36" s="2"/>
      <x:c r="T36" s="2"/>
      <x:c r="U36" s="2"/>
      <x:c r="V36" s="2"/>
      <x:c r="W36" s="2"/>
      <x:c r="X36" s="2"/>
      <x:c r="Y36" s="2"/>
      <x:c r="Z36" s="2"/>
    </x:row>
    <x:row r="37">
      <x:c r="A37" s="49"/>
      <x:c r="B37" s="7"/>
      <x:c r="C37" s="7"/>
      <x:c r="D37" s="7"/>
      <x:c r="E37" s="7"/>
      <x:c r="F37" s="7"/>
      <x:c r="G37" s="69"/>
      <x:c r="H37" s="70"/>
      <x:c r="I37" s="2"/>
      <x:c r="J37" s="2"/>
      <x:c r="K37" s="2"/>
      <x:c r="L37" s="2"/>
      <x:c r="M37" s="2"/>
      <x:c r="N37" s="2"/>
      <x:c r="O37" s="2"/>
      <x:c r="P37" s="2"/>
      <x:c r="Q37" s="2"/>
      <x:c r="R37" s="2"/>
      <x:c r="S37" s="2"/>
      <x:c r="T37" s="2"/>
      <x:c r="U37" s="2"/>
      <x:c r="V37" s="2"/>
      <x:c r="W37" s="2"/>
      <x:c r="X37" s="2"/>
      <x:c r="Y37" s="2"/>
      <x:c r="Z37" s="2"/>
    </x:row>
    <x:row r="38">
      <x:c r="A38" s="49"/>
      <x:c r="B38" s="7"/>
      <x:c r="C38" s="7"/>
      <x:c r="D38" s="7"/>
      <x:c r="E38" s="7"/>
      <x:c r="F38" s="7"/>
      <x:c r="G38" s="69"/>
      <x:c r="H38" s="70"/>
      <x:c r="I38" s="2"/>
      <x:c r="J38" s="2"/>
      <x:c r="K38" s="2"/>
      <x:c r="L38" s="2"/>
      <x:c r="M38" s="2"/>
      <x:c r="N38" s="2"/>
      <x:c r="O38" s="2"/>
      <x:c r="P38" s="2"/>
      <x:c r="Q38" s="2"/>
      <x:c r="R38" s="2"/>
      <x:c r="S38" s="2"/>
      <x:c r="T38" s="2"/>
      <x:c r="U38" s="2"/>
      <x:c r="V38" s="2"/>
      <x:c r="W38" s="2"/>
      <x:c r="X38" s="2"/>
      <x:c r="Y38" s="2"/>
      <x:c r="Z38" s="2"/>
    </x:row>
    <x:row r="39">
      <x:c r="A39" s="49"/>
      <x:c r="B39" s="7"/>
      <x:c r="C39" s="7"/>
      <x:c r="D39" s="7"/>
      <x:c r="E39" s="7"/>
      <x:c r="F39" s="7"/>
      <x:c r="G39" s="69"/>
      <x:c r="H39" s="70"/>
      <x:c r="I39" s="2"/>
      <x:c r="J39" s="2"/>
      <x:c r="K39" s="2"/>
      <x:c r="L39" s="2"/>
      <x:c r="M39" s="2"/>
      <x:c r="N39" s="2"/>
      <x:c r="O39" s="2"/>
      <x:c r="P39" s="2"/>
      <x:c r="Q39" s="2"/>
      <x:c r="R39" s="2"/>
      <x:c r="S39" s="2"/>
      <x:c r="T39" s="2"/>
      <x:c r="U39" s="2"/>
      <x:c r="V39" s="2"/>
      <x:c r="W39" s="2"/>
      <x:c r="X39" s="2"/>
      <x:c r="Y39" s="2"/>
      <x:c r="Z39" s="2"/>
    </x:row>
    <x:row r="40">
      <x:c r="A40" s="49"/>
      <x:c r="B40" s="7"/>
      <x:c r="C40" s="7"/>
      <x:c r="D40" s="7"/>
      <x:c r="E40" s="7"/>
      <x:c r="F40" s="7"/>
      <x:c r="G40" s="69"/>
      <x:c r="H40" s="70"/>
      <x:c r="I40" s="2"/>
      <x:c r="J40" s="2"/>
      <x:c r="K40" s="2"/>
      <x:c r="L40" s="2"/>
      <x:c r="M40" s="2"/>
      <x:c r="N40" s="2"/>
      <x:c r="O40" s="2"/>
      <x:c r="P40" s="2"/>
      <x:c r="Q40" s="2"/>
      <x:c r="R40" s="2"/>
      <x:c r="S40" s="2"/>
      <x:c r="T40" s="2"/>
      <x:c r="U40" s="2"/>
      <x:c r="V40" s="2"/>
      <x:c r="W40" s="2"/>
      <x:c r="X40" s="2"/>
      <x:c r="Y40" s="2"/>
      <x:c r="Z40" s="2"/>
    </x:row>
    <x:row r="41">
      <x:c r="A41" s="49"/>
      <x:c r="B41" s="7"/>
      <x:c r="C41" s="7"/>
      <x:c r="D41" s="7"/>
      <x:c r="E41" s="7"/>
      <x:c r="F41" s="7"/>
      <x:c r="G41" s="69"/>
      <x:c r="H41" s="70"/>
      <x:c r="I41" s="2"/>
      <x:c r="J41" s="2"/>
      <x:c r="K41" s="2"/>
      <x:c r="L41" s="2"/>
      <x:c r="M41" s="2"/>
      <x:c r="N41" s="2"/>
      <x:c r="O41" s="2"/>
      <x:c r="P41" s="2"/>
      <x:c r="Q41" s="2"/>
      <x:c r="R41" s="2"/>
      <x:c r="S41" s="2"/>
      <x:c r="T41" s="2"/>
      <x:c r="U41" s="2"/>
      <x:c r="V41" s="2"/>
      <x:c r="W41" s="2"/>
      <x:c r="X41" s="2"/>
      <x:c r="Y41" s="2"/>
      <x:c r="Z41" s="2"/>
    </x:row>
    <x:row r="42">
      <x:c r="A42" s="49"/>
      <x:c r="B42" s="7"/>
      <x:c r="C42" s="7"/>
      <x:c r="D42" s="7"/>
      <x:c r="E42" s="7"/>
      <x:c r="F42" s="7"/>
      <x:c r="G42" s="69"/>
      <x:c r="H42" s="70"/>
      <x:c r="I42" s="2"/>
      <x:c r="J42" s="2"/>
      <x:c r="K42" s="2"/>
      <x:c r="L42" s="2"/>
      <x:c r="M42" s="2"/>
      <x:c r="N42" s="2"/>
      <x:c r="O42" s="2"/>
      <x:c r="P42" s="2"/>
      <x:c r="Q42" s="2"/>
      <x:c r="R42" s="2"/>
      <x:c r="S42" s="2"/>
      <x:c r="T42" s="2"/>
      <x:c r="U42" s="2"/>
      <x:c r="V42" s="2"/>
      <x:c r="W42" s="2"/>
      <x:c r="X42" s="2"/>
      <x:c r="Y42" s="2"/>
      <x:c r="Z42" s="2"/>
    </x:row>
    <x:row r="43">
      <x:c r="A43" s="49"/>
      <x:c r="B43" s="7"/>
      <x:c r="C43" s="7"/>
      <x:c r="D43" s="7"/>
      <x:c r="E43" s="7"/>
      <x:c r="F43" s="7"/>
      <x:c r="G43" s="69"/>
      <x:c r="H43" s="70"/>
      <x:c r="I43" s="2"/>
      <x:c r="J43" s="2"/>
      <x:c r="K43" s="2"/>
      <x:c r="L43" s="2"/>
      <x:c r="M43" s="2"/>
      <x:c r="N43" s="2"/>
      <x:c r="O43" s="2"/>
      <x:c r="P43" s="2"/>
      <x:c r="Q43" s="2"/>
      <x:c r="R43" s="2"/>
      <x:c r="S43" s="2"/>
      <x:c r="T43" s="2"/>
      <x:c r="U43" s="2"/>
      <x:c r="V43" s="2"/>
      <x:c r="W43" s="2"/>
      <x:c r="X43" s="2"/>
      <x:c r="Y43" s="2"/>
      <x:c r="Z43" s="2"/>
    </x:row>
    <x:row r="44">
      <x:c r="A44" s="49"/>
      <x:c r="B44" s="7"/>
      <x:c r="C44" s="7"/>
      <x:c r="D44" s="7"/>
      <x:c r="E44" s="7"/>
      <x:c r="F44" s="7"/>
      <x:c r="G44" s="69"/>
      <x:c r="H44" s="70"/>
      <x:c r="I44" s="2"/>
      <x:c r="J44" s="2"/>
      <x:c r="K44" s="2"/>
      <x:c r="L44" s="2"/>
      <x:c r="M44" s="2"/>
      <x:c r="N44" s="2"/>
      <x:c r="O44" s="2"/>
      <x:c r="P44" s="2"/>
      <x:c r="Q44" s="2"/>
      <x:c r="R44" s="2"/>
      <x:c r="S44" s="2"/>
      <x:c r="T44" s="2"/>
      <x:c r="U44" s="2"/>
      <x:c r="V44" s="2"/>
      <x:c r="W44" s="2"/>
      <x:c r="X44" s="2"/>
      <x:c r="Y44" s="2"/>
      <x:c r="Z44" s="2"/>
    </x:row>
    <x:row r="45">
      <x:c r="A45" s="49"/>
      <x:c r="B45" s="7"/>
      <x:c r="C45" s="7"/>
      <x:c r="D45" s="7"/>
      <x:c r="E45" s="7"/>
      <x:c r="F45" s="7"/>
      <x:c r="G45" s="69"/>
      <x:c r="H45" s="70"/>
      <x:c r="I45" s="2"/>
      <x:c r="J45" s="2"/>
      <x:c r="K45" s="2"/>
      <x:c r="L45" s="2"/>
      <x:c r="M45" s="2"/>
      <x:c r="N45" s="2"/>
      <x:c r="O45" s="2"/>
      <x:c r="P45" s="2"/>
      <x:c r="Q45" s="2"/>
      <x:c r="R45" s="2"/>
      <x:c r="S45" s="2"/>
      <x:c r="T45" s="2"/>
      <x:c r="U45" s="2"/>
      <x:c r="V45" s="2"/>
      <x:c r="W45" s="2"/>
      <x:c r="X45" s="2"/>
      <x:c r="Y45" s="2"/>
      <x:c r="Z45" s="2"/>
    </x:row>
    <x:row r="46">
      <x:c r="A46" s="49"/>
      <x:c r="B46" s="7"/>
      <x:c r="C46" s="7"/>
      <x:c r="D46" s="7"/>
      <x:c r="E46" s="7"/>
      <x:c r="F46" s="7"/>
      <x:c r="G46" s="69"/>
      <x:c r="H46" s="70"/>
      <x:c r="I46" s="2"/>
      <x:c r="J46" s="2"/>
      <x:c r="K46" s="2"/>
      <x:c r="L46" s="2"/>
      <x:c r="M46" s="2"/>
      <x:c r="N46" s="2"/>
      <x:c r="O46" s="2"/>
      <x:c r="P46" s="2"/>
      <x:c r="Q46" s="2"/>
      <x:c r="R46" s="2"/>
      <x:c r="S46" s="2"/>
      <x:c r="T46" s="2"/>
      <x:c r="U46" s="2"/>
      <x:c r="V46" s="2"/>
      <x:c r="W46" s="2"/>
      <x:c r="X46" s="2"/>
      <x:c r="Y46" s="2"/>
      <x:c r="Z46" s="2"/>
    </x:row>
    <x:row r="47">
      <x:c r="A47" s="49"/>
      <x:c r="B47" s="7"/>
      <x:c r="C47" s="7"/>
      <x:c r="D47" s="7"/>
      <x:c r="E47" s="7"/>
      <x:c r="F47" s="7"/>
      <x:c r="G47" s="69"/>
      <x:c r="H47" s="70"/>
      <x:c r="I47" s="2"/>
      <x:c r="J47" s="2"/>
      <x:c r="K47" s="2"/>
      <x:c r="L47" s="2"/>
      <x:c r="M47" s="2"/>
      <x:c r="N47" s="2"/>
      <x:c r="O47" s="2"/>
      <x:c r="P47" s="2"/>
      <x:c r="Q47" s="2"/>
      <x:c r="R47" s="2"/>
      <x:c r="S47" s="2"/>
      <x:c r="T47" s="2"/>
      <x:c r="U47" s="2"/>
      <x:c r="V47" s="2"/>
      <x:c r="W47" s="2"/>
      <x:c r="X47" s="2"/>
      <x:c r="Y47" s="2"/>
      <x:c r="Z47" s="2"/>
    </x:row>
    <x:row r="48">
      <x:c r="A48" s="49"/>
      <x:c r="B48" s="7"/>
      <x:c r="C48" s="7"/>
      <x:c r="D48" s="7"/>
      <x:c r="E48" s="7"/>
      <x:c r="F48" s="7"/>
      <x:c r="G48" s="69"/>
      <x:c r="H48" s="70"/>
      <x:c r="I48" s="2"/>
      <x:c r="J48" s="2"/>
      <x:c r="K48" s="2"/>
      <x:c r="L48" s="2"/>
      <x:c r="M48" s="2"/>
      <x:c r="N48" s="2"/>
      <x:c r="O48" s="2"/>
      <x:c r="P48" s="2"/>
      <x:c r="Q48" s="2"/>
      <x:c r="R48" s="2"/>
      <x:c r="S48" s="2"/>
      <x:c r="T48" s="2"/>
      <x:c r="U48" s="2"/>
      <x:c r="V48" s="2"/>
      <x:c r="W48" s="2"/>
      <x:c r="X48" s="2"/>
      <x:c r="Y48" s="2"/>
      <x:c r="Z48" s="2"/>
    </x:row>
    <x:row r="49">
      <x:c r="A49" s="49"/>
      <x:c r="B49" s="7"/>
      <x:c r="C49" s="7"/>
      <x:c r="D49" s="7"/>
      <x:c r="E49" s="7"/>
      <x:c r="F49" s="7"/>
      <x:c r="G49" s="69"/>
      <x:c r="H49" s="70"/>
      <x:c r="I49" s="2"/>
      <x:c r="J49" s="2"/>
      <x:c r="K49" s="2"/>
      <x:c r="L49" s="2"/>
      <x:c r="M49" s="2"/>
      <x:c r="N49" s="2"/>
      <x:c r="O49" s="2"/>
      <x:c r="P49" s="2"/>
      <x:c r="Q49" s="2"/>
      <x:c r="R49" s="2"/>
      <x:c r="S49" s="2"/>
      <x:c r="T49" s="2"/>
      <x:c r="U49" s="2"/>
      <x:c r="V49" s="2"/>
      <x:c r="W49" s="2"/>
      <x:c r="X49" s="2"/>
      <x:c r="Y49" s="2"/>
      <x:c r="Z49" s="2"/>
    </x:row>
    <x:row r="50">
      <x:c r="A50" s="49"/>
      <x:c r="B50" s="7"/>
      <x:c r="C50" s="7"/>
      <x:c r="D50" s="7"/>
      <x:c r="E50" s="7"/>
      <x:c r="F50" s="7"/>
      <x:c r="G50" s="69"/>
      <x:c r="H50" s="70"/>
      <x:c r="I50" s="2"/>
      <x:c r="J50" s="2"/>
      <x:c r="K50" s="2"/>
      <x:c r="L50" s="2"/>
      <x:c r="M50" s="2"/>
      <x:c r="N50" s="2"/>
      <x:c r="O50" s="2"/>
      <x:c r="P50" s="2"/>
      <x:c r="Q50" s="2"/>
      <x:c r="R50" s="2"/>
      <x:c r="S50" s="2"/>
      <x:c r="T50" s="2"/>
      <x:c r="U50" s="2"/>
      <x:c r="V50" s="2"/>
      <x:c r="W50" s="2"/>
      <x:c r="X50" s="2"/>
      <x:c r="Y50" s="2"/>
      <x:c r="Z50" s="2"/>
    </x:row>
    <x:row r="51">
      <x:c r="A51" s="49"/>
      <x:c r="B51" s="7"/>
      <x:c r="C51" s="7"/>
      <x:c r="D51" s="7"/>
      <x:c r="E51" s="7"/>
      <x:c r="F51" s="7"/>
      <x:c r="G51" s="69"/>
      <x:c r="H51" s="70"/>
      <x:c r="I51" s="2"/>
      <x:c r="J51" s="2"/>
      <x:c r="K51" s="2"/>
      <x:c r="L51" s="2"/>
      <x:c r="M51" s="2"/>
      <x:c r="N51" s="2"/>
      <x:c r="O51" s="2"/>
      <x:c r="P51" s="2"/>
      <x:c r="Q51" s="2"/>
      <x:c r="R51" s="2"/>
      <x:c r="S51" s="2"/>
      <x:c r="T51" s="2"/>
      <x:c r="U51" s="2"/>
      <x:c r="V51" s="2"/>
      <x:c r="W51" s="2"/>
      <x:c r="X51" s="2"/>
      <x:c r="Y51" s="2"/>
      <x:c r="Z51" s="2"/>
    </x:row>
    <x:row r="52">
      <x:c r="A52" s="49"/>
      <x:c r="B52" s="7"/>
      <x:c r="C52" s="7"/>
      <x:c r="D52" s="7"/>
      <x:c r="E52" s="7"/>
      <x:c r="F52" s="7"/>
      <x:c r="G52" s="69"/>
      <x:c r="H52" s="70"/>
      <x:c r="I52" s="2"/>
      <x:c r="J52" s="2"/>
      <x:c r="K52" s="2"/>
      <x:c r="L52" s="2"/>
      <x:c r="M52" s="2"/>
      <x:c r="N52" s="2"/>
      <x:c r="O52" s="2"/>
      <x:c r="P52" s="2"/>
      <x:c r="Q52" s="2"/>
      <x:c r="R52" s="2"/>
      <x:c r="S52" s="2"/>
      <x:c r="T52" s="2"/>
      <x:c r="U52" s="2"/>
      <x:c r="V52" s="2"/>
      <x:c r="W52" s="2"/>
      <x:c r="X52" s="2"/>
      <x:c r="Y52" s="2"/>
      <x:c r="Z52" s="2"/>
    </x:row>
    <x:row r="53">
      <x:c r="A53" s="49"/>
      <x:c r="B53" s="7"/>
      <x:c r="C53" s="7"/>
      <x:c r="D53" s="7"/>
      <x:c r="E53" s="7"/>
      <x:c r="F53" s="7"/>
      <x:c r="G53" s="69"/>
      <x:c r="H53" s="70"/>
      <x:c r="I53" s="2"/>
      <x:c r="J53" s="2"/>
      <x:c r="K53" s="2"/>
      <x:c r="L53" s="2"/>
      <x:c r="M53" s="2"/>
      <x:c r="N53" s="2"/>
      <x:c r="O53" s="2"/>
      <x:c r="P53" s="2"/>
      <x:c r="Q53" s="2"/>
      <x:c r="R53" s="2"/>
      <x:c r="S53" s="2"/>
      <x:c r="T53" s="2"/>
      <x:c r="U53" s="2"/>
      <x:c r="V53" s="2"/>
      <x:c r="W53" s="2"/>
      <x:c r="X53" s="2"/>
      <x:c r="Y53" s="2"/>
      <x:c r="Z53" s="2"/>
    </x:row>
    <x:row r="54">
      <x:c r="A54" s="49"/>
      <x:c r="B54" s="7"/>
      <x:c r="C54" s="7"/>
      <x:c r="D54" s="7"/>
      <x:c r="E54" s="7"/>
      <x:c r="F54" s="7"/>
      <x:c r="G54" s="69"/>
      <x:c r="H54" s="70"/>
      <x:c r="I54" s="2"/>
      <x:c r="J54" s="2"/>
      <x:c r="K54" s="2"/>
      <x:c r="L54" s="2"/>
      <x:c r="M54" s="2"/>
      <x:c r="N54" s="2"/>
      <x:c r="O54" s="2"/>
      <x:c r="P54" s="2"/>
      <x:c r="Q54" s="2"/>
      <x:c r="R54" s="2"/>
      <x:c r="S54" s="2"/>
      <x:c r="T54" s="2"/>
      <x:c r="U54" s="2"/>
      <x:c r="V54" s="2"/>
      <x:c r="W54" s="2"/>
      <x:c r="X54" s="2"/>
      <x:c r="Y54" s="2"/>
      <x:c r="Z54" s="2"/>
    </x:row>
    <x:row r="55">
      <x:c r="A55" s="49"/>
      <x:c r="B55" s="7"/>
      <x:c r="C55" s="7"/>
      <x:c r="D55" s="7"/>
      <x:c r="E55" s="7"/>
      <x:c r="F55" s="7"/>
      <x:c r="G55" s="69"/>
      <x:c r="H55" s="70"/>
      <x:c r="I55" s="2"/>
      <x:c r="J55" s="2"/>
      <x:c r="K55" s="2"/>
      <x:c r="L55" s="2"/>
      <x:c r="M55" s="2"/>
      <x:c r="N55" s="2"/>
      <x:c r="O55" s="2"/>
      <x:c r="P55" s="2"/>
      <x:c r="Q55" s="2"/>
      <x:c r="R55" s="2"/>
      <x:c r="S55" s="2"/>
      <x:c r="T55" s="2"/>
      <x:c r="U55" s="2"/>
      <x:c r="V55" s="2"/>
      <x:c r="W55" s="2"/>
      <x:c r="X55" s="2"/>
      <x:c r="Y55" s="2"/>
      <x:c r="Z55" s="2"/>
    </x:row>
    <x:row r="56">
      <x:c r="A56" s="49"/>
      <x:c r="B56" s="7"/>
      <x:c r="C56" s="7"/>
      <x:c r="D56" s="7"/>
      <x:c r="E56" s="7"/>
      <x:c r="F56" s="7"/>
      <x:c r="G56" s="69"/>
      <x:c r="H56" s="70"/>
      <x:c r="I56" s="2"/>
      <x:c r="J56" s="2"/>
      <x:c r="K56" s="2"/>
      <x:c r="L56" s="2"/>
      <x:c r="M56" s="2"/>
      <x:c r="N56" s="2"/>
      <x:c r="O56" s="2"/>
      <x:c r="P56" s="2"/>
      <x:c r="Q56" s="2"/>
      <x:c r="R56" s="2"/>
      <x:c r="S56" s="2"/>
      <x:c r="T56" s="2"/>
      <x:c r="U56" s="2"/>
      <x:c r="V56" s="2"/>
      <x:c r="W56" s="2"/>
      <x:c r="X56" s="2"/>
      <x:c r="Y56" s="2"/>
      <x:c r="Z56" s="2"/>
    </x:row>
    <x:row r="57">
      <x:c r="A57" s="49"/>
      <x:c r="B57" s="7"/>
      <x:c r="C57" s="7"/>
      <x:c r="D57" s="7"/>
      <x:c r="E57" s="7"/>
      <x:c r="F57" s="7"/>
      <x:c r="G57" s="69"/>
      <x:c r="H57" s="70"/>
      <x:c r="I57" s="2"/>
      <x:c r="J57" s="2"/>
      <x:c r="K57" s="2"/>
      <x:c r="L57" s="2"/>
      <x:c r="M57" s="2"/>
      <x:c r="N57" s="2"/>
      <x:c r="O57" s="2"/>
      <x:c r="P57" s="2"/>
      <x:c r="Q57" s="2"/>
      <x:c r="R57" s="2"/>
      <x:c r="S57" s="2"/>
      <x:c r="T57" s="2"/>
      <x:c r="U57" s="2"/>
      <x:c r="V57" s="2"/>
      <x:c r="W57" s="2"/>
      <x:c r="X57" s="2"/>
      <x:c r="Y57" s="2"/>
      <x:c r="Z57" s="2"/>
    </x:row>
    <x:row r="58">
      <x:c r="A58" s="49"/>
      <x:c r="B58" s="7"/>
      <x:c r="C58" s="7"/>
      <x:c r="D58" s="7"/>
      <x:c r="E58" s="7"/>
      <x:c r="F58" s="7"/>
      <x:c r="G58" s="69"/>
      <x:c r="H58" s="70"/>
      <x:c r="I58" s="2"/>
      <x:c r="J58" s="2"/>
      <x:c r="K58" s="2"/>
      <x:c r="L58" s="2"/>
      <x:c r="M58" s="2"/>
      <x:c r="N58" s="2"/>
      <x:c r="O58" s="2"/>
      <x:c r="P58" s="2"/>
      <x:c r="Q58" s="2"/>
      <x:c r="R58" s="2"/>
      <x:c r="S58" s="2"/>
      <x:c r="T58" s="2"/>
      <x:c r="U58" s="2"/>
      <x:c r="V58" s="2"/>
      <x:c r="W58" s="2"/>
      <x:c r="X58" s="2"/>
      <x:c r="Y58" s="2"/>
      <x:c r="Z58" s="2"/>
    </x:row>
    <x:row r="59">
      <x:c r="A59" s="49"/>
      <x:c r="B59" s="7"/>
      <x:c r="C59" s="7"/>
      <x:c r="D59" s="7"/>
      <x:c r="E59" s="7"/>
      <x:c r="F59" s="7"/>
      <x:c r="G59" s="69"/>
      <x:c r="H59" s="70"/>
      <x:c r="I59" s="2"/>
      <x:c r="J59" s="2"/>
      <x:c r="K59" s="2"/>
      <x:c r="L59" s="2"/>
      <x:c r="M59" s="2"/>
      <x:c r="N59" s="2"/>
      <x:c r="O59" s="2"/>
      <x:c r="P59" s="2"/>
      <x:c r="Q59" s="2"/>
      <x:c r="R59" s="2"/>
      <x:c r="S59" s="2"/>
      <x:c r="T59" s="2"/>
      <x:c r="U59" s="2"/>
      <x:c r="V59" s="2"/>
      <x:c r="W59" s="2"/>
      <x:c r="X59" s="2"/>
      <x:c r="Y59" s="2"/>
      <x:c r="Z59" s="2"/>
    </x:row>
    <x:row r="60">
      <x:c r="A60" s="49"/>
      <x:c r="B60" s="7"/>
      <x:c r="C60" s="7"/>
      <x:c r="D60" s="7"/>
      <x:c r="E60" s="7"/>
      <x:c r="F60" s="7"/>
      <x:c r="G60" s="69"/>
      <x:c r="H60" s="70"/>
      <x:c r="I60" s="2"/>
      <x:c r="J60" s="2"/>
      <x:c r="K60" s="2"/>
      <x:c r="L60" s="2"/>
      <x:c r="M60" s="2"/>
      <x:c r="N60" s="2"/>
      <x:c r="O60" s="2"/>
      <x:c r="P60" s="2"/>
      <x:c r="Q60" s="2"/>
      <x:c r="R60" s="2"/>
      <x:c r="S60" s="2"/>
      <x:c r="T60" s="2"/>
      <x:c r="U60" s="2"/>
      <x:c r="V60" s="2"/>
      <x:c r="W60" s="2"/>
      <x:c r="X60" s="2"/>
      <x:c r="Y60" s="2"/>
      <x:c r="Z60" s="2"/>
    </x:row>
    <x:row r="61">
      <x:c r="A61" s="49"/>
      <x:c r="B61" s="7"/>
      <x:c r="C61" s="7"/>
      <x:c r="D61" s="7"/>
      <x:c r="E61" s="7"/>
      <x:c r="F61" s="7"/>
      <x:c r="G61" s="69"/>
      <x:c r="H61" s="70"/>
      <x:c r="I61" s="2"/>
      <x:c r="J61" s="2"/>
      <x:c r="K61" s="2"/>
      <x:c r="L61" s="2"/>
      <x:c r="M61" s="2"/>
      <x:c r="N61" s="2"/>
      <x:c r="O61" s="2"/>
      <x:c r="P61" s="2"/>
      <x:c r="Q61" s="2"/>
      <x:c r="R61" s="2"/>
      <x:c r="S61" s="2"/>
      <x:c r="T61" s="2"/>
      <x:c r="U61" s="2"/>
      <x:c r="V61" s="2"/>
      <x:c r="W61" s="2"/>
      <x:c r="X61" s="2"/>
      <x:c r="Y61" s="2"/>
      <x:c r="Z61" s="2"/>
    </x:row>
    <x:row r="62">
      <x:c r="A62" s="49"/>
      <x:c r="B62" s="7"/>
      <x:c r="C62" s="7"/>
      <x:c r="D62" s="7"/>
      <x:c r="E62" s="7"/>
      <x:c r="F62" s="7"/>
      <x:c r="G62" s="69"/>
      <x:c r="H62" s="70"/>
      <x:c r="I62" s="2"/>
      <x:c r="J62" s="2"/>
      <x:c r="K62" s="2"/>
      <x:c r="L62" s="2"/>
      <x:c r="M62" s="2"/>
      <x:c r="N62" s="2"/>
      <x:c r="O62" s="2"/>
      <x:c r="P62" s="2"/>
      <x:c r="Q62" s="2"/>
      <x:c r="R62" s="2"/>
      <x:c r="S62" s="2"/>
      <x:c r="T62" s="2"/>
      <x:c r="U62" s="2"/>
      <x:c r="V62" s="2"/>
      <x:c r="W62" s="2"/>
      <x:c r="X62" s="2"/>
      <x:c r="Y62" s="2"/>
      <x:c r="Z62" s="2"/>
    </x:row>
    <x:row r="63">
      <x:c r="A63" s="49"/>
      <x:c r="B63" s="7"/>
      <x:c r="C63" s="7"/>
      <x:c r="D63" s="7"/>
      <x:c r="E63" s="7"/>
      <x:c r="F63" s="7"/>
      <x:c r="G63" s="69"/>
      <x:c r="H63" s="70"/>
      <x:c r="I63" s="2"/>
      <x:c r="J63" s="2"/>
      <x:c r="K63" s="2"/>
      <x:c r="L63" s="2"/>
      <x:c r="M63" s="2"/>
      <x:c r="N63" s="2"/>
      <x:c r="O63" s="2"/>
      <x:c r="P63" s="2"/>
      <x:c r="Q63" s="2"/>
      <x:c r="R63" s="2"/>
      <x:c r="S63" s="2"/>
      <x:c r="T63" s="2"/>
      <x:c r="U63" s="2"/>
      <x:c r="V63" s="2"/>
      <x:c r="W63" s="2"/>
      <x:c r="X63" s="2"/>
      <x:c r="Y63" s="2"/>
      <x:c r="Z63" s="2"/>
    </x:row>
    <x:row r="64">
      <x:c r="A64" s="49"/>
      <x:c r="B64" s="7"/>
      <x:c r="C64" s="7"/>
      <x:c r="D64" s="7"/>
      <x:c r="E64" s="7"/>
      <x:c r="F64" s="7"/>
      <x:c r="G64" s="69"/>
      <x:c r="H64" s="70"/>
      <x:c r="I64" s="2"/>
      <x:c r="J64" s="2"/>
      <x:c r="K64" s="2"/>
      <x:c r="L64" s="2"/>
      <x:c r="M64" s="2"/>
      <x:c r="N64" s="2"/>
      <x:c r="O64" s="2"/>
      <x:c r="P64" s="2"/>
      <x:c r="Q64" s="2"/>
      <x:c r="R64" s="2"/>
      <x:c r="S64" s="2"/>
      <x:c r="T64" s="2"/>
      <x:c r="U64" s="2"/>
      <x:c r="V64" s="2"/>
      <x:c r="W64" s="2"/>
      <x:c r="X64" s="2"/>
      <x:c r="Y64" s="2"/>
      <x:c r="Z64" s="2"/>
    </x:row>
    <x:row r="65">
      <x:c r="A65" s="49"/>
      <x:c r="B65" s="7"/>
      <x:c r="C65" s="7"/>
      <x:c r="D65" s="7"/>
      <x:c r="E65" s="7"/>
      <x:c r="F65" s="7"/>
      <x:c r="G65" s="69"/>
      <x:c r="H65" s="70"/>
      <x:c r="I65" s="2"/>
      <x:c r="J65" s="2"/>
      <x:c r="K65" s="2"/>
      <x:c r="L65" s="2"/>
      <x:c r="M65" s="2"/>
      <x:c r="N65" s="2"/>
      <x:c r="O65" s="2"/>
      <x:c r="P65" s="2"/>
      <x:c r="Q65" s="2"/>
      <x:c r="R65" s="2"/>
      <x:c r="S65" s="2"/>
      <x:c r="T65" s="2"/>
      <x:c r="U65" s="2"/>
      <x:c r="V65" s="2"/>
      <x:c r="W65" s="2"/>
      <x:c r="X65" s="2"/>
      <x:c r="Y65" s="2"/>
      <x:c r="Z65" s="2"/>
    </x:row>
    <x:row r="66">
      <x:c r="A66" s="49"/>
      <x:c r="B66" s="7"/>
      <x:c r="C66" s="7"/>
      <x:c r="D66" s="7"/>
      <x:c r="E66" s="7"/>
      <x:c r="F66" s="7"/>
      <x:c r="G66" s="69"/>
      <x:c r="H66" s="70"/>
      <x:c r="I66" s="2"/>
      <x:c r="J66" s="2"/>
      <x:c r="K66" s="2"/>
      <x:c r="L66" s="2"/>
      <x:c r="M66" s="2"/>
      <x:c r="N66" s="2"/>
      <x:c r="O66" s="2"/>
      <x:c r="P66" s="2"/>
      <x:c r="Q66" s="2"/>
      <x:c r="R66" s="2"/>
      <x:c r="S66" s="2"/>
      <x:c r="T66" s="2"/>
      <x:c r="U66" s="2"/>
      <x:c r="V66" s="2"/>
      <x:c r="W66" s="2"/>
      <x:c r="X66" s="2"/>
      <x:c r="Y66" s="2"/>
      <x:c r="Z66" s="2"/>
    </x:row>
    <x:row r="67">
      <x:c r="A67" s="49"/>
      <x:c r="B67" s="7"/>
      <x:c r="C67" s="7"/>
      <x:c r="D67" s="7"/>
      <x:c r="E67" s="7"/>
      <x:c r="F67" s="7"/>
      <x:c r="G67" s="69"/>
      <x:c r="H67" s="70"/>
      <x:c r="I67" s="2"/>
      <x:c r="J67" s="2"/>
      <x:c r="K67" s="2"/>
      <x:c r="L67" s="2"/>
      <x:c r="M67" s="2"/>
      <x:c r="N67" s="2"/>
      <x:c r="O67" s="2"/>
      <x:c r="P67" s="2"/>
      <x:c r="Q67" s="2"/>
      <x:c r="R67" s="2"/>
      <x:c r="S67" s="2"/>
      <x:c r="T67" s="2"/>
      <x:c r="U67" s="2"/>
      <x:c r="V67" s="2"/>
      <x:c r="W67" s="2"/>
      <x:c r="X67" s="2"/>
      <x:c r="Y67" s="2"/>
      <x:c r="Z67" s="2"/>
    </x:row>
    <x:row r="68">
      <x:c r="A68" s="49"/>
      <x:c r="B68" s="7"/>
      <x:c r="C68" s="7"/>
      <x:c r="D68" s="7"/>
      <x:c r="E68" s="7"/>
      <x:c r="F68" s="7"/>
      <x:c r="G68" s="69"/>
      <x:c r="H68" s="70"/>
      <x:c r="I68" s="2"/>
      <x:c r="J68" s="2"/>
      <x:c r="K68" s="2"/>
      <x:c r="L68" s="2"/>
      <x:c r="M68" s="2"/>
      <x:c r="N68" s="2"/>
      <x:c r="O68" s="2"/>
      <x:c r="P68" s="2"/>
      <x:c r="Q68" s="2"/>
      <x:c r="R68" s="2"/>
      <x:c r="S68" s="2"/>
      <x:c r="T68" s="2"/>
      <x:c r="U68" s="2"/>
      <x:c r="V68" s="2"/>
      <x:c r="W68" s="2"/>
      <x:c r="X68" s="2"/>
      <x:c r="Y68" s="2"/>
      <x:c r="Z68" s="2"/>
    </x:row>
    <x:row r="69">
      <x:c r="A69" s="49"/>
      <x:c r="B69" s="7"/>
      <x:c r="C69" s="7"/>
      <x:c r="D69" s="7"/>
      <x:c r="E69" s="7"/>
      <x:c r="F69" s="7"/>
      <x:c r="G69" s="69"/>
      <x:c r="H69" s="70"/>
      <x:c r="I69" s="2"/>
      <x:c r="J69" s="2"/>
      <x:c r="K69" s="2"/>
      <x:c r="L69" s="2"/>
      <x:c r="M69" s="2"/>
      <x:c r="N69" s="2"/>
      <x:c r="O69" s="2"/>
      <x:c r="P69" s="2"/>
      <x:c r="Q69" s="2"/>
      <x:c r="R69" s="2"/>
      <x:c r="S69" s="2"/>
      <x:c r="T69" s="2"/>
      <x:c r="U69" s="2"/>
      <x:c r="V69" s="2"/>
      <x:c r="W69" s="2"/>
      <x:c r="X69" s="2"/>
      <x:c r="Y69" s="2"/>
      <x:c r="Z69" s="2"/>
    </x:row>
    <x:row r="70">
      <x:c r="A70" s="49"/>
      <x:c r="B70" s="7"/>
      <x:c r="C70" s="7"/>
      <x:c r="D70" s="7"/>
      <x:c r="E70" s="7"/>
      <x:c r="F70" s="7"/>
      <x:c r="G70" s="69"/>
      <x:c r="H70" s="70"/>
      <x:c r="I70" s="2"/>
      <x:c r="J70" s="2"/>
      <x:c r="K70" s="2"/>
      <x:c r="L70" s="2"/>
      <x:c r="M70" s="2"/>
      <x:c r="N70" s="2"/>
      <x:c r="O70" s="2"/>
      <x:c r="P70" s="2"/>
      <x:c r="Q70" s="2"/>
      <x:c r="R70" s="2"/>
      <x:c r="S70" s="2"/>
      <x:c r="T70" s="2"/>
      <x:c r="U70" s="2"/>
      <x:c r="V70" s="2"/>
      <x:c r="W70" s="2"/>
      <x:c r="X70" s="2"/>
      <x:c r="Y70" s="2"/>
      <x:c r="Z70" s="2"/>
    </x:row>
    <x:row r="71">
      <x:c r="A71" s="49"/>
      <x:c r="B71" s="7"/>
      <x:c r="C71" s="7"/>
      <x:c r="D71" s="7"/>
      <x:c r="E71" s="7"/>
      <x:c r="F71" s="7"/>
      <x:c r="G71" s="69"/>
      <x:c r="H71" s="70"/>
      <x:c r="I71" s="2"/>
      <x:c r="J71" s="2"/>
      <x:c r="K71" s="2"/>
      <x:c r="L71" s="2"/>
      <x:c r="M71" s="2"/>
      <x:c r="N71" s="2"/>
      <x:c r="O71" s="2"/>
      <x:c r="P71" s="2"/>
      <x:c r="Q71" s="2"/>
      <x:c r="R71" s="2"/>
      <x:c r="S71" s="2"/>
      <x:c r="T71" s="2"/>
      <x:c r="U71" s="2"/>
      <x:c r="V71" s="2"/>
      <x:c r="W71" s="2"/>
      <x:c r="X71" s="2"/>
      <x:c r="Y71" s="2"/>
      <x:c r="Z71" s="2"/>
    </x:row>
    <x:row r="72">
      <x:c r="A72" s="49"/>
      <x:c r="B72" s="7"/>
      <x:c r="C72" s="7"/>
      <x:c r="D72" s="7"/>
      <x:c r="E72" s="7"/>
      <x:c r="F72" s="7"/>
      <x:c r="G72" s="69"/>
      <x:c r="H72" s="70"/>
      <x:c r="I72" s="2"/>
      <x:c r="J72" s="2"/>
      <x:c r="K72" s="2"/>
      <x:c r="L72" s="2"/>
      <x:c r="M72" s="2"/>
      <x:c r="N72" s="2"/>
      <x:c r="O72" s="2"/>
      <x:c r="P72" s="2"/>
      <x:c r="Q72" s="2"/>
      <x:c r="R72" s="2"/>
      <x:c r="S72" s="2"/>
      <x:c r="T72" s="2"/>
      <x:c r="U72" s="2"/>
      <x:c r="V72" s="2"/>
      <x:c r="W72" s="2"/>
      <x:c r="X72" s="2"/>
      <x:c r="Y72" s="2"/>
      <x:c r="Z72" s="2"/>
    </x:row>
    <x:row r="73">
      <x:c r="A73" s="49"/>
      <x:c r="B73" s="7"/>
      <x:c r="C73" s="7"/>
      <x:c r="D73" s="7"/>
      <x:c r="E73" s="7"/>
      <x:c r="F73" s="7"/>
      <x:c r="G73" s="69"/>
      <x:c r="H73" s="70"/>
      <x:c r="I73" s="2"/>
      <x:c r="J73" s="2"/>
      <x:c r="K73" s="2"/>
      <x:c r="L73" s="2"/>
      <x:c r="M73" s="2"/>
      <x:c r="N73" s="2"/>
      <x:c r="O73" s="2"/>
      <x:c r="P73" s="2"/>
      <x:c r="Q73" s="2"/>
      <x:c r="R73" s="2"/>
      <x:c r="S73" s="2"/>
      <x:c r="T73" s="2"/>
      <x:c r="U73" s="2"/>
      <x:c r="V73" s="2"/>
      <x:c r="W73" s="2"/>
      <x:c r="X73" s="2"/>
      <x:c r="Y73" s="2"/>
      <x:c r="Z73" s="2"/>
    </x:row>
    <x:row r="74">
      <x:c r="A74" s="49"/>
      <x:c r="B74" s="7"/>
      <x:c r="C74" s="7"/>
      <x:c r="D74" s="7"/>
      <x:c r="E74" s="7"/>
      <x:c r="F74" s="7"/>
      <x:c r="G74" s="69"/>
      <x:c r="H74" s="70"/>
      <x:c r="I74" s="2"/>
      <x:c r="J74" s="2"/>
      <x:c r="K74" s="2"/>
      <x:c r="L74" s="2"/>
      <x:c r="M74" s="2"/>
      <x:c r="N74" s="2"/>
      <x:c r="O74" s="2"/>
      <x:c r="P74" s="2"/>
      <x:c r="Q74" s="2"/>
      <x:c r="R74" s="2"/>
      <x:c r="S74" s="2"/>
      <x:c r="T74" s="2"/>
      <x:c r="U74" s="2"/>
      <x:c r="V74" s="2"/>
      <x:c r="W74" s="2"/>
      <x:c r="X74" s="2"/>
      <x:c r="Y74" s="2"/>
      <x:c r="Z74" s="2"/>
    </x:row>
    <x:row r="75">
      <x:c r="A75" s="49"/>
      <x:c r="B75" s="7"/>
      <x:c r="C75" s="7"/>
      <x:c r="D75" s="7"/>
      <x:c r="E75" s="7"/>
      <x:c r="F75" s="7"/>
      <x:c r="G75" s="69"/>
      <x:c r="H75" s="70"/>
      <x:c r="I75" s="2"/>
      <x:c r="J75" s="2"/>
      <x:c r="K75" s="2"/>
      <x:c r="L75" s="2"/>
      <x:c r="M75" s="2"/>
      <x:c r="N75" s="2"/>
      <x:c r="O75" s="2"/>
      <x:c r="P75" s="2"/>
      <x:c r="Q75" s="2"/>
      <x:c r="R75" s="2"/>
      <x:c r="S75" s="2"/>
      <x:c r="T75" s="2"/>
      <x:c r="U75" s="2"/>
      <x:c r="V75" s="2"/>
      <x:c r="W75" s="2"/>
      <x:c r="X75" s="2"/>
      <x:c r="Y75" s="2"/>
      <x:c r="Z75" s="2"/>
    </x:row>
    <x:row r="76">
      <x:c r="A76" s="49"/>
      <x:c r="B76" s="7"/>
      <x:c r="C76" s="7"/>
      <x:c r="D76" s="7"/>
      <x:c r="E76" s="7"/>
      <x:c r="F76" s="7"/>
      <x:c r="G76" s="69"/>
      <x:c r="H76" s="70"/>
      <x:c r="I76" s="2"/>
      <x:c r="J76" s="2"/>
      <x:c r="K76" s="2"/>
      <x:c r="L76" s="2"/>
      <x:c r="M76" s="2"/>
      <x:c r="N76" s="2"/>
      <x:c r="O76" s="2"/>
      <x:c r="P76" s="2"/>
      <x:c r="Q76" s="2"/>
      <x:c r="R76" s="2"/>
      <x:c r="S76" s="2"/>
      <x:c r="T76" s="2"/>
      <x:c r="U76" s="2"/>
      <x:c r="V76" s="2"/>
      <x:c r="W76" s="2"/>
      <x:c r="X76" s="2"/>
      <x:c r="Y76" s="2"/>
      <x:c r="Z76" s="2"/>
    </x:row>
    <x:row r="77">
      <x:c r="A77" s="49"/>
      <x:c r="B77" s="7"/>
      <x:c r="C77" s="7"/>
      <x:c r="D77" s="7"/>
      <x:c r="E77" s="7"/>
      <x:c r="F77" s="7"/>
      <x:c r="G77" s="69"/>
      <x:c r="H77" s="70"/>
      <x:c r="I77" s="2"/>
      <x:c r="J77" s="2"/>
      <x:c r="K77" s="2"/>
      <x:c r="L77" s="2"/>
      <x:c r="M77" s="2"/>
      <x:c r="N77" s="2"/>
      <x:c r="O77" s="2"/>
      <x:c r="P77" s="2"/>
      <x:c r="Q77" s="2"/>
      <x:c r="R77" s="2"/>
      <x:c r="S77" s="2"/>
      <x:c r="T77" s="2"/>
      <x:c r="U77" s="2"/>
      <x:c r="V77" s="2"/>
      <x:c r="W77" s="2"/>
      <x:c r="X77" s="2"/>
      <x:c r="Y77" s="2"/>
      <x:c r="Z77" s="2"/>
    </x:row>
    <x:row r="78">
      <x:c r="A78" s="49"/>
      <x:c r="B78" s="7"/>
      <x:c r="C78" s="7"/>
      <x:c r="D78" s="7"/>
      <x:c r="E78" s="7"/>
      <x:c r="F78" s="7"/>
      <x:c r="G78" s="69"/>
      <x:c r="H78" s="70"/>
      <x:c r="I78" s="2"/>
      <x:c r="J78" s="2"/>
      <x:c r="K78" s="2"/>
      <x:c r="L78" s="2"/>
      <x:c r="M78" s="2"/>
      <x:c r="N78" s="2"/>
      <x:c r="O78" s="2"/>
      <x:c r="P78" s="2"/>
      <x:c r="Q78" s="2"/>
      <x:c r="R78" s="2"/>
      <x:c r="S78" s="2"/>
      <x:c r="T78" s="2"/>
      <x:c r="U78" s="2"/>
      <x:c r="V78" s="2"/>
      <x:c r="W78" s="2"/>
      <x:c r="X78" s="2"/>
      <x:c r="Y78" s="2"/>
      <x:c r="Z78" s="2"/>
    </x:row>
    <x:row r="79">
      <x:c r="A79" s="49"/>
      <x:c r="B79" s="7"/>
      <x:c r="C79" s="7"/>
      <x:c r="D79" s="7"/>
      <x:c r="E79" s="7"/>
      <x:c r="F79" s="7"/>
      <x:c r="G79" s="69"/>
      <x:c r="H79" s="70"/>
      <x:c r="I79" s="2"/>
      <x:c r="J79" s="2"/>
      <x:c r="K79" s="2"/>
      <x:c r="L79" s="2"/>
      <x:c r="M79" s="2"/>
      <x:c r="N79" s="2"/>
      <x:c r="O79" s="2"/>
      <x:c r="P79" s="2"/>
      <x:c r="Q79" s="2"/>
      <x:c r="R79" s="2"/>
      <x:c r="S79" s="2"/>
      <x:c r="T79" s="2"/>
      <x:c r="U79" s="2"/>
      <x:c r="V79" s="2"/>
      <x:c r="W79" s="2"/>
      <x:c r="X79" s="2"/>
      <x:c r="Y79" s="2"/>
      <x:c r="Z79" s="2"/>
    </x:row>
    <x:row r="80">
      <x:c r="A80" s="49"/>
      <x:c r="B80" s="7"/>
      <x:c r="C80" s="7"/>
      <x:c r="D80" s="7"/>
      <x:c r="E80" s="7"/>
      <x:c r="F80" s="7"/>
      <x:c r="G80" s="69"/>
      <x:c r="H80" s="70"/>
      <x:c r="I80" s="2"/>
      <x:c r="J80" s="2"/>
      <x:c r="K80" s="2"/>
      <x:c r="L80" s="2"/>
      <x:c r="M80" s="2"/>
      <x:c r="N80" s="2"/>
      <x:c r="O80" s="2"/>
      <x:c r="P80" s="2"/>
      <x:c r="Q80" s="2"/>
      <x:c r="R80" s="2"/>
      <x:c r="S80" s="2"/>
      <x:c r="T80" s="2"/>
      <x:c r="U80" s="2"/>
      <x:c r="V80" s="2"/>
      <x:c r="W80" s="2"/>
      <x:c r="X80" s="2"/>
      <x:c r="Y80" s="2"/>
      <x:c r="Z80" s="2"/>
    </x:row>
    <x:row r="81">
      <x:c r="A81" s="49"/>
      <x:c r="B81" s="7"/>
      <x:c r="C81" s="7"/>
      <x:c r="D81" s="7"/>
      <x:c r="E81" s="7"/>
      <x:c r="F81" s="7"/>
      <x:c r="G81" s="69"/>
      <x:c r="H81" s="70"/>
      <x:c r="I81" s="2"/>
      <x:c r="J81" s="2"/>
      <x:c r="K81" s="2"/>
      <x:c r="L81" s="2"/>
      <x:c r="M81" s="2"/>
      <x:c r="N81" s="2"/>
      <x:c r="O81" s="2"/>
      <x:c r="P81" s="2"/>
      <x:c r="Q81" s="2"/>
      <x:c r="R81" s="2"/>
      <x:c r="S81" s="2"/>
      <x:c r="T81" s="2"/>
      <x:c r="U81" s="2"/>
      <x:c r="V81" s="2"/>
      <x:c r="W81" s="2"/>
      <x:c r="X81" s="2"/>
      <x:c r="Y81" s="2"/>
      <x:c r="Z81" s="2"/>
    </x:row>
    <x:row r="82">
      <x:c r="A82" s="49"/>
      <x:c r="B82" s="7"/>
      <x:c r="C82" s="7"/>
      <x:c r="D82" s="7"/>
      <x:c r="E82" s="7"/>
      <x:c r="F82" s="7"/>
      <x:c r="G82" s="69"/>
      <x:c r="H82" s="70"/>
      <x:c r="I82" s="2"/>
      <x:c r="J82" s="2"/>
      <x:c r="K82" s="2"/>
      <x:c r="L82" s="2"/>
      <x:c r="M82" s="2"/>
      <x:c r="N82" s="2"/>
      <x:c r="O82" s="2"/>
      <x:c r="P82" s="2"/>
      <x:c r="Q82" s="2"/>
      <x:c r="R82" s="2"/>
      <x:c r="S82" s="2"/>
      <x:c r="T82" s="2"/>
      <x:c r="U82" s="2"/>
      <x:c r="V82" s="2"/>
      <x:c r="W82" s="2"/>
      <x:c r="X82" s="2"/>
      <x:c r="Y82" s="2"/>
      <x:c r="Z82" s="2"/>
    </x:row>
    <x:row r="83">
      <x:c r="A83" s="49"/>
      <x:c r="B83" s="7"/>
      <x:c r="C83" s="7"/>
      <x:c r="D83" s="7"/>
      <x:c r="E83" s="7"/>
      <x:c r="F83" s="7"/>
      <x:c r="G83" s="69"/>
      <x:c r="H83" s="70"/>
      <x:c r="I83" s="2"/>
      <x:c r="J83" s="2"/>
      <x:c r="K83" s="2"/>
      <x:c r="L83" s="2"/>
      <x:c r="M83" s="2"/>
      <x:c r="N83" s="2"/>
      <x:c r="O83" s="2"/>
      <x:c r="P83" s="2"/>
      <x:c r="Q83" s="2"/>
      <x:c r="R83" s="2"/>
      <x:c r="S83" s="2"/>
      <x:c r="T83" s="2"/>
      <x:c r="U83" s="2"/>
      <x:c r="V83" s="2"/>
      <x:c r="W83" s="2"/>
      <x:c r="X83" s="2"/>
      <x:c r="Y83" s="2"/>
      <x:c r="Z83" s="2"/>
    </x:row>
    <x:row r="84">
      <x:c r="A84" s="49"/>
      <x:c r="B84" s="7"/>
      <x:c r="C84" s="7"/>
      <x:c r="D84" s="7"/>
      <x:c r="E84" s="7"/>
      <x:c r="F84" s="7"/>
      <x:c r="G84" s="69"/>
      <x:c r="H84" s="70"/>
      <x:c r="I84" s="2"/>
      <x:c r="J84" s="2"/>
      <x:c r="K84" s="2"/>
      <x:c r="L84" s="2"/>
      <x:c r="M84" s="2"/>
      <x:c r="N84" s="2"/>
      <x:c r="O84" s="2"/>
      <x:c r="P84" s="2"/>
      <x:c r="Q84" s="2"/>
      <x:c r="R84" s="2"/>
      <x:c r="S84" s="2"/>
      <x:c r="T84" s="2"/>
      <x:c r="U84" s="2"/>
      <x:c r="V84" s="2"/>
      <x:c r="W84" s="2"/>
      <x:c r="X84" s="2"/>
      <x:c r="Y84" s="2"/>
      <x:c r="Z84" s="2"/>
    </x:row>
    <x:row r="85">
      <x:c r="A85" s="49"/>
      <x:c r="B85" s="7"/>
      <x:c r="C85" s="7"/>
      <x:c r="D85" s="7"/>
      <x:c r="E85" s="7"/>
      <x:c r="F85" s="7"/>
      <x:c r="G85" s="69"/>
      <x:c r="H85" s="70"/>
      <x:c r="I85" s="2"/>
      <x:c r="J85" s="2"/>
      <x:c r="K85" s="2"/>
      <x:c r="L85" s="2"/>
      <x:c r="M85" s="2"/>
      <x:c r="N85" s="2"/>
      <x:c r="O85" s="2"/>
      <x:c r="P85" s="2"/>
      <x:c r="Q85" s="2"/>
      <x:c r="R85" s="2"/>
      <x:c r="S85" s="2"/>
      <x:c r="T85" s="2"/>
      <x:c r="U85" s="2"/>
      <x:c r="V85" s="2"/>
      <x:c r="W85" s="2"/>
      <x:c r="X85" s="2"/>
      <x:c r="Y85" s="2"/>
      <x:c r="Z85" s="2"/>
    </x:row>
    <x:row r="86">
      <x:c r="A86" s="49"/>
      <x:c r="B86" s="7"/>
      <x:c r="C86" s="7"/>
      <x:c r="D86" s="7"/>
      <x:c r="E86" s="7"/>
      <x:c r="F86" s="7"/>
      <x:c r="G86" s="69"/>
      <x:c r="H86" s="70"/>
      <x:c r="I86" s="2"/>
      <x:c r="J86" s="2"/>
      <x:c r="K86" s="2"/>
      <x:c r="L86" s="2"/>
      <x:c r="M86" s="2"/>
      <x:c r="N86" s="2"/>
      <x:c r="O86" s="2"/>
      <x:c r="P86" s="2"/>
      <x:c r="Q86" s="2"/>
      <x:c r="R86" s="2"/>
      <x:c r="S86" s="2"/>
      <x:c r="T86" s="2"/>
      <x:c r="U86" s="2"/>
      <x:c r="V86" s="2"/>
      <x:c r="W86" s="2"/>
      <x:c r="X86" s="2"/>
      <x:c r="Y86" s="2"/>
      <x:c r="Z86" s="2"/>
    </x:row>
    <x:row r="87">
      <x:c r="A87" s="49"/>
      <x:c r="B87" s="7"/>
      <x:c r="C87" s="7"/>
      <x:c r="D87" s="7"/>
      <x:c r="E87" s="7"/>
      <x:c r="F87" s="7"/>
      <x:c r="G87" s="69"/>
      <x:c r="H87" s="70"/>
      <x:c r="I87" s="2"/>
      <x:c r="J87" s="2"/>
      <x:c r="K87" s="2"/>
      <x:c r="L87" s="2"/>
      <x:c r="M87" s="2"/>
      <x:c r="N87" s="2"/>
      <x:c r="O87" s="2"/>
      <x:c r="P87" s="2"/>
      <x:c r="Q87" s="2"/>
      <x:c r="R87" s="2"/>
      <x:c r="S87" s="2"/>
      <x:c r="T87" s="2"/>
      <x:c r="U87" s="2"/>
      <x:c r="V87" s="2"/>
      <x:c r="W87" s="2"/>
      <x:c r="X87" s="2"/>
      <x:c r="Y87" s="2"/>
      <x:c r="Z87" s="2"/>
    </x:row>
    <x:row r="88">
      <x:c r="A88" s="49"/>
      <x:c r="B88" s="7"/>
      <x:c r="C88" s="7"/>
      <x:c r="D88" s="7"/>
      <x:c r="E88" s="7"/>
      <x:c r="F88" s="7"/>
      <x:c r="G88" s="69"/>
      <x:c r="H88" s="70"/>
      <x:c r="I88" s="2"/>
      <x:c r="J88" s="2"/>
      <x:c r="K88" s="2"/>
      <x:c r="L88" s="2"/>
      <x:c r="M88" s="2"/>
      <x:c r="N88" s="2"/>
      <x:c r="O88" s="2"/>
      <x:c r="P88" s="2"/>
      <x:c r="Q88" s="2"/>
      <x:c r="R88" s="2"/>
      <x:c r="S88" s="2"/>
      <x:c r="T88" s="2"/>
      <x:c r="U88" s="2"/>
      <x:c r="V88" s="2"/>
      <x:c r="W88" s="2"/>
      <x:c r="X88" s="2"/>
      <x:c r="Y88" s="2"/>
      <x:c r="Z88" s="2"/>
    </x:row>
    <x:row r="89">
      <x:c r="A89" s="49"/>
      <x:c r="B89" s="7"/>
      <x:c r="C89" s="7"/>
      <x:c r="D89" s="7"/>
      <x:c r="E89" s="7"/>
      <x:c r="F89" s="7"/>
      <x:c r="G89" s="69"/>
      <x:c r="H89" s="70"/>
      <x:c r="I89" s="2"/>
      <x:c r="J89" s="2"/>
      <x:c r="K89" s="2"/>
      <x:c r="L89" s="2"/>
      <x:c r="M89" s="2"/>
      <x:c r="N89" s="2"/>
      <x:c r="O89" s="2"/>
      <x:c r="P89" s="2"/>
      <x:c r="Q89" s="2"/>
      <x:c r="R89" s="2"/>
      <x:c r="S89" s="2"/>
      <x:c r="T89" s="2"/>
      <x:c r="U89" s="2"/>
      <x:c r="V89" s="2"/>
      <x:c r="W89" s="2"/>
      <x:c r="X89" s="2"/>
      <x:c r="Y89" s="2"/>
      <x:c r="Z89" s="2"/>
    </x:row>
    <x:row r="90">
      <x:c r="A90" s="49"/>
      <x:c r="B90" s="7"/>
      <x:c r="C90" s="7"/>
      <x:c r="D90" s="7"/>
      <x:c r="E90" s="7"/>
      <x:c r="F90" s="7"/>
      <x:c r="G90" s="69"/>
      <x:c r="H90" s="70"/>
      <x:c r="I90" s="2"/>
      <x:c r="J90" s="2"/>
      <x:c r="K90" s="2"/>
      <x:c r="L90" s="2"/>
      <x:c r="M90" s="2"/>
      <x:c r="N90" s="2"/>
      <x:c r="O90" s="2"/>
      <x:c r="P90" s="2"/>
      <x:c r="Q90" s="2"/>
      <x:c r="R90" s="2"/>
      <x:c r="S90" s="2"/>
      <x:c r="T90" s="2"/>
      <x:c r="U90" s="2"/>
      <x:c r="V90" s="2"/>
      <x:c r="W90" s="2"/>
      <x:c r="X90" s="2"/>
      <x:c r="Y90" s="2"/>
      <x:c r="Z90" s="2"/>
    </x:row>
    <x:row r="91">
      <x:c r="A91" s="49"/>
      <x:c r="B91" s="7"/>
      <x:c r="C91" s="7"/>
      <x:c r="D91" s="7"/>
      <x:c r="E91" s="7"/>
      <x:c r="F91" s="7"/>
      <x:c r="G91" s="69"/>
      <x:c r="H91" s="70"/>
      <x:c r="I91" s="2"/>
      <x:c r="J91" s="2"/>
      <x:c r="K91" s="2"/>
      <x:c r="L91" s="2"/>
      <x:c r="M91" s="2"/>
      <x:c r="N91" s="2"/>
      <x:c r="O91" s="2"/>
      <x:c r="P91" s="2"/>
      <x:c r="Q91" s="2"/>
      <x:c r="R91" s="2"/>
      <x:c r="S91" s="2"/>
      <x:c r="T91" s="2"/>
      <x:c r="U91" s="2"/>
      <x:c r="V91" s="2"/>
      <x:c r="W91" s="2"/>
      <x:c r="X91" s="2"/>
      <x:c r="Y91" s="2"/>
      <x:c r="Z91" s="2"/>
    </x:row>
    <x:row r="92">
      <x:c r="A92" s="49"/>
      <x:c r="B92" s="7"/>
      <x:c r="C92" s="7"/>
      <x:c r="D92" s="7"/>
      <x:c r="E92" s="7"/>
      <x:c r="F92" s="7"/>
      <x:c r="G92" s="69"/>
      <x:c r="H92" s="70"/>
      <x:c r="I92" s="2"/>
      <x:c r="J92" s="2"/>
      <x:c r="K92" s="2"/>
      <x:c r="L92" s="2"/>
      <x:c r="M92" s="2"/>
      <x:c r="N92" s="2"/>
      <x:c r="O92" s="2"/>
      <x:c r="P92" s="2"/>
      <x:c r="Q92" s="2"/>
      <x:c r="R92" s="2"/>
      <x:c r="S92" s="2"/>
      <x:c r="T92" s="2"/>
      <x:c r="U92" s="2"/>
      <x:c r="V92" s="2"/>
      <x:c r="W92" s="2"/>
      <x:c r="X92" s="2"/>
      <x:c r="Y92" s="2"/>
      <x:c r="Z92" s="2"/>
    </x:row>
    <x:row r="93">
      <x:c r="A93" s="49"/>
      <x:c r="B93" s="7"/>
      <x:c r="C93" s="7"/>
      <x:c r="D93" s="7"/>
      <x:c r="E93" s="7"/>
      <x:c r="F93" s="7"/>
      <x:c r="G93" s="69"/>
      <x:c r="H93" s="70"/>
      <x:c r="I93" s="2"/>
      <x:c r="J93" s="2"/>
      <x:c r="K93" s="2"/>
      <x:c r="L93" s="2"/>
      <x:c r="M93" s="2"/>
      <x:c r="N93" s="2"/>
      <x:c r="O93" s="2"/>
      <x:c r="P93" s="2"/>
      <x:c r="Q93" s="2"/>
      <x:c r="R93" s="2"/>
      <x:c r="S93" s="2"/>
      <x:c r="T93" s="2"/>
      <x:c r="U93" s="2"/>
      <x:c r="V93" s="2"/>
      <x:c r="W93" s="2"/>
      <x:c r="X93" s="2"/>
      <x:c r="Y93" s="2"/>
      <x:c r="Z93" s="2"/>
    </x:row>
    <x:row r="94">
      <x:c r="A94" s="49"/>
      <x:c r="B94" s="7"/>
      <x:c r="C94" s="7"/>
      <x:c r="D94" s="7"/>
      <x:c r="E94" s="7"/>
      <x:c r="F94" s="7"/>
      <x:c r="G94" s="69"/>
      <x:c r="H94" s="70"/>
      <x:c r="I94" s="2"/>
      <x:c r="J94" s="2"/>
      <x:c r="K94" s="2"/>
      <x:c r="L94" s="2"/>
      <x:c r="M94" s="2"/>
      <x:c r="N94" s="2"/>
      <x:c r="O94" s="2"/>
      <x:c r="P94" s="2"/>
      <x:c r="Q94" s="2"/>
      <x:c r="R94" s="2"/>
      <x:c r="S94" s="2"/>
      <x:c r="T94" s="2"/>
      <x:c r="U94" s="2"/>
      <x:c r="V94" s="2"/>
      <x:c r="W94" s="2"/>
      <x:c r="X94" s="2"/>
      <x:c r="Y94" s="2"/>
      <x:c r="Z94" s="2"/>
    </x:row>
    <x:row r="95">
      <x:c r="A95" s="49"/>
      <x:c r="B95" s="7"/>
      <x:c r="C95" s="7"/>
      <x:c r="D95" s="7"/>
      <x:c r="E95" s="7"/>
      <x:c r="F95" s="7"/>
      <x:c r="G95" s="69"/>
      <x:c r="H95" s="70"/>
      <x:c r="I95" s="2"/>
      <x:c r="J95" s="2"/>
      <x:c r="K95" s="2"/>
      <x:c r="L95" s="2"/>
      <x:c r="M95" s="2"/>
      <x:c r="N95" s="2"/>
      <x:c r="O95" s="2"/>
      <x:c r="P95" s="2"/>
      <x:c r="Q95" s="2"/>
      <x:c r="R95" s="2"/>
      <x:c r="S95" s="2"/>
      <x:c r="T95" s="2"/>
      <x:c r="U95" s="2"/>
      <x:c r="V95" s="2"/>
      <x:c r="W95" s="2"/>
      <x:c r="X95" s="2"/>
      <x:c r="Y95" s="2"/>
      <x:c r="Z95" s="2"/>
    </x:row>
    <x:row r="96">
      <x:c r="A96" s="49"/>
      <x:c r="B96" s="7"/>
      <x:c r="C96" s="7"/>
      <x:c r="D96" s="7"/>
      <x:c r="E96" s="7"/>
      <x:c r="F96" s="7"/>
      <x:c r="G96" s="69"/>
      <x:c r="H96" s="70"/>
      <x:c r="I96" s="2"/>
      <x:c r="J96" s="2"/>
      <x:c r="K96" s="2"/>
      <x:c r="L96" s="2"/>
      <x:c r="M96" s="2"/>
      <x:c r="N96" s="2"/>
      <x:c r="O96" s="2"/>
      <x:c r="P96" s="2"/>
      <x:c r="Q96" s="2"/>
      <x:c r="R96" s="2"/>
      <x:c r="S96" s="2"/>
      <x:c r="T96" s="2"/>
      <x:c r="U96" s="2"/>
      <x:c r="V96" s="2"/>
      <x:c r="W96" s="2"/>
      <x:c r="X96" s="2"/>
      <x:c r="Y96" s="2"/>
      <x:c r="Z96" s="2"/>
    </x:row>
    <x:row r="97">
      <x:c r="A97" s="49"/>
      <x:c r="B97" s="7"/>
      <x:c r="C97" s="7"/>
      <x:c r="D97" s="7"/>
      <x:c r="E97" s="7"/>
      <x:c r="F97" s="7"/>
      <x:c r="G97" s="69"/>
      <x:c r="H97" s="70"/>
      <x:c r="I97" s="2"/>
      <x:c r="J97" s="2"/>
      <x:c r="K97" s="2"/>
      <x:c r="L97" s="2"/>
      <x:c r="M97" s="2"/>
      <x:c r="N97" s="2"/>
      <x:c r="O97" s="2"/>
      <x:c r="P97" s="2"/>
      <x:c r="Q97" s="2"/>
      <x:c r="R97" s="2"/>
      <x:c r="S97" s="2"/>
      <x:c r="T97" s="2"/>
      <x:c r="U97" s="2"/>
      <x:c r="V97" s="2"/>
      <x:c r="W97" s="2"/>
      <x:c r="X97" s="2"/>
      <x:c r="Y97" s="2"/>
      <x:c r="Z97" s="2"/>
    </x:row>
    <x:row r="98">
      <x:c r="A98" s="49"/>
      <x:c r="B98" s="7"/>
      <x:c r="C98" s="7"/>
      <x:c r="D98" s="7"/>
      <x:c r="E98" s="7"/>
      <x:c r="F98" s="7"/>
      <x:c r="G98" s="69"/>
      <x:c r="H98" s="70"/>
      <x:c r="I98" s="2"/>
      <x:c r="J98" s="2"/>
      <x:c r="K98" s="2"/>
      <x:c r="L98" s="2"/>
      <x:c r="M98" s="2"/>
      <x:c r="N98" s="2"/>
      <x:c r="O98" s="2"/>
      <x:c r="P98" s="2"/>
      <x:c r="Q98" s="2"/>
      <x:c r="R98" s="2"/>
      <x:c r="S98" s="2"/>
      <x:c r="T98" s="2"/>
      <x:c r="U98" s="2"/>
      <x:c r="V98" s="2"/>
      <x:c r="W98" s="2"/>
      <x:c r="X98" s="2"/>
      <x:c r="Y98" s="2"/>
      <x:c r="Z98" s="2"/>
    </x:row>
    <x:row r="99">
      <x:c r="A99" s="49"/>
      <x:c r="B99" s="7"/>
      <x:c r="C99" s="7"/>
      <x:c r="D99" s="7"/>
      <x:c r="E99" s="7"/>
      <x:c r="F99" s="7"/>
      <x:c r="G99" s="69"/>
      <x:c r="H99" s="70"/>
      <x:c r="I99" s="2"/>
      <x:c r="J99" s="2"/>
      <x:c r="K99" s="2"/>
      <x:c r="L99" s="2"/>
      <x:c r="M99" s="2"/>
      <x:c r="N99" s="2"/>
      <x:c r="O99" s="2"/>
      <x:c r="P99" s="2"/>
      <x:c r="Q99" s="2"/>
      <x:c r="R99" s="2"/>
      <x:c r="S99" s="2"/>
      <x:c r="T99" s="2"/>
      <x:c r="U99" s="2"/>
      <x:c r="V99" s="2"/>
      <x:c r="W99" s="2"/>
      <x:c r="X99" s="2"/>
      <x:c r="Y99" s="2"/>
      <x:c r="Z99" s="2"/>
    </x:row>
    <x:row r="100">
      <x:c r="A100" s="49"/>
      <x:c r="B100" s="7"/>
      <x:c r="C100" s="7"/>
      <x:c r="D100" s="7"/>
      <x:c r="E100" s="7"/>
      <x:c r="F100" s="7"/>
      <x:c r="G100" s="69"/>
      <x:c r="H100" s="70"/>
      <x:c r="I100" s="2"/>
      <x:c r="J100" s="2"/>
      <x:c r="K100" s="2"/>
      <x:c r="L100" s="2"/>
      <x:c r="M100" s="2"/>
      <x:c r="N100" s="2"/>
      <x:c r="O100" s="2"/>
      <x:c r="P100" s="2"/>
      <x:c r="Q100" s="2"/>
      <x:c r="R100" s="2"/>
      <x:c r="S100" s="2"/>
      <x:c r="T100" s="2"/>
      <x:c r="U100" s="2"/>
      <x:c r="V100" s="2"/>
      <x:c r="W100" s="2"/>
      <x:c r="X100" s="2"/>
      <x:c r="Y100" s="2"/>
      <x:c r="Z100" s="2"/>
    </x:row>
    <x:row r="101">
      <x:c r="A101" s="49"/>
      <x:c r="B101" s="7"/>
      <x:c r="C101" s="7"/>
      <x:c r="D101" s="7"/>
      <x:c r="E101" s="7"/>
      <x:c r="F101" s="7"/>
      <x:c r="G101" s="69"/>
      <x:c r="H101" s="70"/>
      <x:c r="I101" s="2"/>
      <x:c r="J101" s="2"/>
      <x:c r="K101" s="2"/>
      <x:c r="L101" s="2"/>
      <x:c r="M101" s="2"/>
      <x:c r="N101" s="2"/>
      <x:c r="O101" s="2"/>
      <x:c r="P101" s="2"/>
      <x:c r="Q101" s="2"/>
      <x:c r="R101" s="2"/>
      <x:c r="S101" s="2"/>
      <x:c r="T101" s="2"/>
      <x:c r="U101" s="2"/>
      <x:c r="V101" s="2"/>
      <x:c r="W101" s="2"/>
      <x:c r="X101" s="2"/>
      <x:c r="Y101" s="2"/>
      <x:c r="Z101" s="2"/>
    </x:row>
    <x:row r="102">
      <x:c r="A102" s="49"/>
      <x:c r="B102" s="7"/>
      <x:c r="C102" s="7"/>
      <x:c r="D102" s="7"/>
      <x:c r="E102" s="7"/>
      <x:c r="F102" s="7"/>
      <x:c r="G102" s="69"/>
      <x:c r="H102" s="70"/>
      <x:c r="I102" s="2"/>
      <x:c r="J102" s="2"/>
      <x:c r="K102" s="2"/>
      <x:c r="L102" s="2"/>
      <x:c r="M102" s="2"/>
      <x:c r="N102" s="2"/>
      <x:c r="O102" s="2"/>
      <x:c r="P102" s="2"/>
      <x:c r="Q102" s="2"/>
      <x:c r="R102" s="2"/>
      <x:c r="S102" s="2"/>
      <x:c r="T102" s="2"/>
      <x:c r="U102" s="2"/>
      <x:c r="V102" s="2"/>
      <x:c r="W102" s="2"/>
      <x:c r="X102" s="2"/>
      <x:c r="Y102" s="2"/>
      <x:c r="Z102" s="2"/>
    </x:row>
    <x:row r="103">
      <x:c r="A103" s="49"/>
      <x:c r="B103" s="7"/>
      <x:c r="C103" s="7"/>
      <x:c r="D103" s="7"/>
      <x:c r="E103" s="7"/>
      <x:c r="F103" s="7"/>
      <x:c r="G103" s="69"/>
      <x:c r="H103" s="70"/>
      <x:c r="I103" s="2"/>
      <x:c r="J103" s="2"/>
      <x:c r="K103" s="2"/>
      <x:c r="L103" s="2"/>
      <x:c r="M103" s="2"/>
      <x:c r="N103" s="2"/>
      <x:c r="O103" s="2"/>
      <x:c r="P103" s="2"/>
      <x:c r="Q103" s="2"/>
      <x:c r="R103" s="2"/>
      <x:c r="S103" s="2"/>
      <x:c r="T103" s="2"/>
      <x:c r="U103" s="2"/>
      <x:c r="V103" s="2"/>
      <x:c r="W103" s="2"/>
      <x:c r="X103" s="2"/>
      <x:c r="Y103" s="2"/>
      <x:c r="Z103" s="2"/>
    </x:row>
    <x:row r="104">
      <x:c r="A104" s="49"/>
      <x:c r="B104" s="7"/>
      <x:c r="C104" s="7"/>
      <x:c r="D104" s="7"/>
      <x:c r="E104" s="7"/>
      <x:c r="F104" s="7"/>
      <x:c r="G104" s="69"/>
      <x:c r="H104" s="70"/>
      <x:c r="I104" s="2"/>
      <x:c r="J104" s="2"/>
      <x:c r="K104" s="2"/>
      <x:c r="L104" s="2"/>
      <x:c r="M104" s="2"/>
      <x:c r="N104" s="2"/>
      <x:c r="O104" s="2"/>
      <x:c r="P104" s="2"/>
      <x:c r="Q104" s="2"/>
      <x:c r="R104" s="2"/>
      <x:c r="S104" s="2"/>
      <x:c r="T104" s="2"/>
      <x:c r="U104" s="2"/>
      <x:c r="V104" s="2"/>
      <x:c r="W104" s="2"/>
      <x:c r="X104" s="2"/>
      <x:c r="Y104" s="2"/>
      <x:c r="Z104" s="2"/>
    </x:row>
    <x:row r="105">
      <x:c r="A105" s="49"/>
      <x:c r="B105" s="7"/>
      <x:c r="C105" s="7"/>
      <x:c r="D105" s="7"/>
      <x:c r="E105" s="7"/>
      <x:c r="F105" s="7"/>
      <x:c r="G105" s="69"/>
      <x:c r="H105" s="70"/>
      <x:c r="I105" s="2"/>
      <x:c r="J105" s="2"/>
      <x:c r="K105" s="2"/>
      <x:c r="L105" s="2"/>
      <x:c r="M105" s="2"/>
      <x:c r="N105" s="2"/>
      <x:c r="O105" s="2"/>
      <x:c r="P105" s="2"/>
      <x:c r="Q105" s="2"/>
      <x:c r="R105" s="2"/>
      <x:c r="S105" s="2"/>
      <x:c r="T105" s="2"/>
      <x:c r="U105" s="2"/>
      <x:c r="V105" s="2"/>
      <x:c r="W105" s="2"/>
      <x:c r="X105" s="2"/>
      <x:c r="Y105" s="2"/>
      <x:c r="Z105" s="2"/>
    </x:row>
    <x:row r="106">
      <x:c r="A106" s="51"/>
      <x:c r="B106" s="52"/>
      <x:c r="C106" s="52"/>
      <x:c r="D106" s="52"/>
      <x:c r="E106" s="52"/>
      <x:c r="F106" s="52"/>
      <x:c r="G106" s="71"/>
      <x:c r="H106" s="7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sheetData>
  <x:mergeCells>
    <x:mergeCell ref="A2:H2"/>
    <x:mergeCell ref="A4:H4"/>
  </x:mergeCells>
  <x:dataValidations count="1">
    <x:dataValidation type="list" sqref="F7:F106">
      <x:formula1>Services!$A$7:$A$11</x:formula1>
    </x:dataValidation>
  </x:dataValidations>
  <x:pageMargins left="0.7" right="0.7" top="0.75" bottom="0.75" header="0.3" footer="0.3"/>
  <x:tableParts count="1">
    <x:tablePart xmlns:r="http://schemas.openxmlformats.org/officeDocument/2006/relationships" r:id="R7c54602333804e65"/>
  </x:tableParts>
</x:worksheet>
</file>

<file path=xl/worksheets/sheet4.xml><?xml version="1.0" encoding="utf-8"?>
<x:worksheet xmlns:x="http://schemas.openxmlformats.org/spreadsheetml/2006/main">
  <x:sheetPr>
    <x:tabColor rgb="FF2E6F95"/>
  </x:sheetPr>
  <x:sheetViews>
    <x:sheetView showGridLines="0" workbookViewId="0">
      <x:pane ySplit="6" topLeftCell="A7" activePane="bottomLeft" state="frozen"/>
    </x:sheetView>
  </x:sheetViews>
  <x:sheetFormatPr defaultRowHeight="15"/>
  <x:cols>
    <x:col min="1" max="1" width="16" hidden="0" customWidth="1"/>
    <x:col min="2" max="2" width="16" hidden="0" customWidth="1"/>
    <x:col min="3" max="3" width="16" hidden="0" customWidth="1"/>
    <x:col min="4" max="4" width="25" hidden="0" customWidth="1"/>
    <x:col min="5" max="5" width="16" hidden="0" customWidth="1"/>
    <x:col min="6" max="6" width="16" hidden="0" customWidth="1"/>
    <x:col min="7" max="7" width="16" hidden="0" customWidth="1"/>
    <x:col min="8" max="8" width="16" hidden="0" customWidth="1"/>
    <x:col min="9" max="9" width="20" hidden="0" customWidth="1"/>
    <x:col min="10" max="10" width="20"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x:c r="A2" s="3" t="str">
        <x:v>Expenses &amp; Mileage</x:v>
      </x:c>
      <x:c r="B2" s="2"/>
      <x:c r="C2" s="2"/>
      <x:c r="D2" s="2"/>
      <x:c r="E2" s="2"/>
      <x:c r="F2" s="2"/>
      <x:c r="G2" s="2"/>
      <x:c r="H2" s="2"/>
      <x:c r="I2" s="2"/>
      <x:c r="J2" s="2"/>
      <x:c r="K2" s="2"/>
      <x:c r="L2" s="2"/>
      <x:c r="M2" s="2"/>
      <x:c r="N2" s="2"/>
      <x:c r="O2" s="2"/>
      <x:c r="P2" s="2"/>
      <x:c r="Q2" s="2"/>
      <x:c r="R2" s="2"/>
      <x:c r="S2" s="2"/>
      <x:c r="T2" s="2"/>
      <x:c r="U2" s="2"/>
      <x:c r="V2" s="2"/>
      <x:c r="W2" s="2"/>
      <x:c r="X2" s="2"/>
      <x:c r="Y2" s="2"/>
      <x:c r="Z2" s="2"/>
    </x:row>
    <x:row r="3">
      <x:c r="A3" s="4"/>
      <x:c r="B3" s="4"/>
      <x:c r="C3" s="4"/>
      <x:c r="D3" s="4"/>
      <x:c r="E3" s="4"/>
      <x:c r="F3" s="4"/>
      <x:c r="G3" s="4"/>
      <x:c r="H3" s="4"/>
      <x:c r="I3" s="4"/>
      <x:c r="J3" s="4"/>
      <x:c r="K3" s="2"/>
      <x:c r="L3" s="2"/>
      <x:c r="M3" s="2"/>
      <x:c r="N3" s="2"/>
      <x:c r="O3" s="2"/>
      <x:c r="P3" s="2"/>
      <x:c r="Q3" s="2"/>
      <x:c r="R3" s="2"/>
      <x:c r="S3" s="2"/>
      <x:c r="T3" s="2"/>
      <x:c r="U3" s="2"/>
      <x:c r="V3" s="2"/>
      <x:c r="W3" s="2"/>
      <x:c r="X3" s="2"/>
      <x:c r="Y3" s="2"/>
      <x:c r="Z3" s="2"/>
    </x:row>
    <x:row r="4" ht="32" customHeight="1">
      <x:c r="A4" s="6" t="str">
        <x:v>Record operating expenses and business miles separately. Mileage estimate is a planning proxy, not a tax calculation.</x:v>
      </x:c>
      <x:c r="B4" s="2"/>
      <x:c r="C4" s="2"/>
      <x:c r="D4" s="2"/>
      <x:c r="E4" s="2"/>
      <x:c r="F4" s="2"/>
      <x:c r="G4" s="2"/>
      <x:c r="H4" s="2"/>
      <x:c r="I4" s="2"/>
      <x:c r="J4" s="2"/>
      <x:c r="K4" s="2"/>
      <x:c r="L4" s="2"/>
      <x:c r="M4" s="2"/>
      <x:c r="N4" s="2"/>
      <x:c r="O4" s="2"/>
      <x:c r="P4" s="2"/>
      <x:c r="Q4" s="2"/>
      <x:c r="R4" s="2"/>
      <x:c r="S4" s="2"/>
      <x:c r="T4" s="2"/>
      <x:c r="U4" s="2"/>
      <x:c r="V4" s="2"/>
      <x:c r="W4" s="2"/>
      <x:c r="X4" s="2"/>
      <x:c r="Y4" s="2"/>
      <x:c r="Z4" s="2"/>
    </x:row>
    <x:row r="5">
      <x:c r="A5" s="2"/>
      <x:c r="B5" s="2"/>
      <x:c r="C5" s="2"/>
      <x:c r="D5" s="2"/>
      <x:c r="E5" s="2"/>
      <x:c r="F5" s="2"/>
      <x:c r="G5" s="2"/>
      <x:c r="H5" s="2"/>
      <x:c r="I5" s="2"/>
      <x:c r="J5" s="2"/>
      <x:c r="K5" s="2"/>
      <x:c r="L5" s="2"/>
      <x:c r="M5" s="2"/>
      <x:c r="N5" s="2"/>
      <x:c r="O5" s="2"/>
      <x:c r="P5" s="2"/>
      <x:c r="Q5" s="2"/>
      <x:c r="R5" s="2"/>
      <x:c r="S5" s="2"/>
      <x:c r="T5" s="2"/>
      <x:c r="U5" s="2"/>
      <x:c r="V5" s="2"/>
      <x:c r="W5" s="2"/>
      <x:c r="X5" s="2"/>
      <x:c r="Y5" s="2"/>
      <x:c r="Z5" s="2"/>
    </x:row>
    <x:row r="6" ht="30" customHeight="1">
      <x:c r="A6" s="43" t="str">
        <x:v>Expense ID</x:v>
      </x:c>
      <x:c r="B6" s="44" t="str">
        <x:v>Date</x:v>
      </x:c>
      <x:c r="C6" s="44" t="str">
        <x:v>Category</x:v>
      </x:c>
      <x:c r="D6" s="44" t="str">
        <x:v>Description</x:v>
      </x:c>
      <x:c r="E6" s="44" t="str">
        <x:v>Amount</x:v>
      </x:c>
      <x:c r="F6" s="44" t="str">
        <x:v>Business miles</x:v>
      </x:c>
      <x:c r="G6" s="44" t="str">
        <x:v>Rate / mile</x:v>
      </x:c>
      <x:c r="H6" s="44" t="str">
        <x:v>Mileage estimate</x:v>
      </x:c>
      <x:c r="I6" s="44" t="str">
        <x:v>Receipt reference</x:v>
      </x:c>
      <x:c r="J6" s="45" t="str">
        <x:v>Notes</x:v>
      </x:c>
      <x:c r="K6" s="2"/>
      <x:c r="L6" s="2"/>
      <x:c r="M6" s="2"/>
      <x:c r="N6" s="2"/>
      <x:c r="O6" s="2"/>
      <x:c r="P6" s="2"/>
      <x:c r="Q6" s="2"/>
      <x:c r="R6" s="2"/>
      <x:c r="S6" s="2"/>
      <x:c r="T6" s="2"/>
      <x:c r="U6" s="2"/>
      <x:c r="V6" s="2"/>
      <x:c r="W6" s="2"/>
      <x:c r="X6" s="2"/>
      <x:c r="Y6" s="2"/>
      <x:c r="Z6" s="2"/>
    </x:row>
    <x:row r="7">
      <x:c r="A7" s="46" t="str">
        <x:v>SAMPLE-E001</x:v>
      </x:c>
      <x:c r="B7" s="57" t="n">
        <x:v>46267</x:v>
      </x:c>
      <x:c r="C7" s="47" t="str">
        <x:v>Supplies</x:v>
      </x:c>
      <x:c r="D7" s="47" t="str">
        <x:v>SAMPLE — waste bags</x:v>
      </x:c>
      <x:c r="E7" s="60" t="n">
        <x:v>14.5</x:v>
      </x:c>
      <x:c r="F7" s="48" t="n">
        <x:v>0</x:v>
      </x:c>
      <x:c r="G7" s="62" t="n">
        <x:f>IF(A7="","",Dashboard!$H$6)</x:f>
        <x:v>0.7</x:v>
      </x:c>
      <x:c r="H7" s="62" t="n">
        <x:f>IF(A7="","",F7*G7)</x:f>
        <x:v>0</x:v>
      </x:c>
      <x:c r="I7" s="46" t="str">
        <x:v>SAMPLE-R001</x:v>
      </x:c>
      <x:c r="J7" s="48" t="str">
        <x:v>SAMPLE</x:v>
      </x:c>
      <x:c r="K7" s="2"/>
      <x:c r="L7" s="2"/>
      <x:c r="M7" s="2"/>
      <x:c r="N7" s="2"/>
      <x:c r="O7" s="2"/>
      <x:c r="P7" s="2"/>
      <x:c r="Q7" s="2"/>
      <x:c r="R7" s="2"/>
      <x:c r="S7" s="2"/>
      <x:c r="T7" s="2"/>
      <x:c r="U7" s="2"/>
      <x:c r="V7" s="2"/>
      <x:c r="W7" s="2"/>
      <x:c r="X7" s="2"/>
      <x:c r="Y7" s="2"/>
      <x:c r="Z7" s="2"/>
    </x:row>
    <x:row r="8">
      <x:c r="A8" s="49" t="str">
        <x:v>SAMPLE-E002</x:v>
      </x:c>
      <x:c r="B8" s="58" t="n">
        <x:v>46270</x:v>
      </x:c>
      <x:c r="C8" s="7" t="str">
        <x:v>Travel</x:v>
      </x:c>
      <x:c r="D8" s="7" t="str">
        <x:v>SAMPLE — client route</x:v>
      </x:c>
      <x:c r="E8" s="63" t="n">
        <x:v>0</x:v>
      </x:c>
      <x:c r="F8" s="50" t="n">
        <x:v>18</x:v>
      </x:c>
      <x:c r="G8" s="62" t="n">
        <x:f>IF(A8="","",Dashboard!$H$6)</x:f>
        <x:v>0.7</x:v>
      </x:c>
      <x:c r="H8" s="62" t="n">
        <x:f>IF(A8="","",F8*G8)</x:f>
        <x:v>12.6</x:v>
      </x:c>
      <x:c r="I8" s="49" t="str">
        <x:v>SAMPLE-MILE-001</x:v>
      </x:c>
      <x:c r="J8" s="50" t="str">
        <x:v>SAMPLE</x:v>
      </x:c>
      <x:c r="K8" s="2"/>
      <x:c r="L8" s="2"/>
      <x:c r="M8" s="2"/>
      <x:c r="N8" s="2"/>
      <x:c r="O8" s="2"/>
      <x:c r="P8" s="2"/>
      <x:c r="Q8" s="2"/>
      <x:c r="R8" s="2"/>
      <x:c r="S8" s="2"/>
      <x:c r="T8" s="2"/>
      <x:c r="U8" s="2"/>
      <x:c r="V8" s="2"/>
      <x:c r="W8" s="2"/>
      <x:c r="X8" s="2"/>
      <x:c r="Y8" s="2"/>
      <x:c r="Z8" s="2"/>
    </x:row>
    <x:row r="9">
      <x:c r="A9" s="49" t="str">
        <x:v>SAMPLE-E003</x:v>
      </x:c>
      <x:c r="B9" s="58" t="n">
        <x:v>46272</x:v>
      </x:c>
      <x:c r="C9" s="7" t="str">
        <x:v>Marketing</x:v>
      </x:c>
      <x:c r="D9" s="7" t="str">
        <x:v>SAMPLE — print materials</x:v>
      </x:c>
      <x:c r="E9" s="63" t="n">
        <x:v>24</x:v>
      </x:c>
      <x:c r="F9" s="50" t="n">
        <x:v>0</x:v>
      </x:c>
      <x:c r="G9" s="62" t="n">
        <x:f>IF(A9="","",Dashboard!$H$6)</x:f>
        <x:v>0.7</x:v>
      </x:c>
      <x:c r="H9" s="62" t="n">
        <x:f>IF(A9="","",F9*G9)</x:f>
        <x:v>0</x:v>
      </x:c>
      <x:c r="I9" s="49" t="str">
        <x:v>SAMPLE-R002</x:v>
      </x:c>
      <x:c r="J9" s="50" t="str">
        <x:v>SAMPLE</x:v>
      </x:c>
      <x:c r="K9" s="2"/>
      <x:c r="L9" s="2"/>
      <x:c r="M9" s="2"/>
      <x:c r="N9" s="2"/>
      <x:c r="O9" s="2"/>
      <x:c r="P9" s="2"/>
      <x:c r="Q9" s="2"/>
      <x:c r="R9" s="2"/>
      <x:c r="S9" s="2"/>
      <x:c r="T9" s="2"/>
      <x:c r="U9" s="2"/>
      <x:c r="V9" s="2"/>
      <x:c r="W9" s="2"/>
      <x:c r="X9" s="2"/>
      <x:c r="Y9" s="2"/>
      <x:c r="Z9" s="2"/>
    </x:row>
    <x:row r="10">
      <x:c r="A10" s="49"/>
      <x:c r="B10" s="58"/>
      <x:c r="C10" s="7"/>
      <x:c r="D10" s="7"/>
      <x:c r="E10" s="63"/>
      <x:c r="F10" s="50"/>
      <x:c r="G10" s="62" t="str">
        <x:f>IF(A10="","",Dashboard!$H$6)</x:f>
      </x:c>
      <x:c r="H10" s="62" t="str">
        <x:f>IF(A10="","",F10*G10)</x:f>
      </x:c>
      <x:c r="I10" s="49"/>
      <x:c r="J10" s="50"/>
      <x:c r="K10" s="2"/>
      <x:c r="L10" s="2"/>
      <x:c r="M10" s="2"/>
      <x:c r="N10" s="2"/>
      <x:c r="O10" s="2"/>
      <x:c r="P10" s="2"/>
      <x:c r="Q10" s="2"/>
      <x:c r="R10" s="2"/>
      <x:c r="S10" s="2"/>
      <x:c r="T10" s="2"/>
      <x:c r="U10" s="2"/>
      <x:c r="V10" s="2"/>
      <x:c r="W10" s="2"/>
      <x:c r="X10" s="2"/>
      <x:c r="Y10" s="2"/>
      <x:c r="Z10" s="2"/>
    </x:row>
    <x:row r="11">
      <x:c r="A11" s="49"/>
      <x:c r="B11" s="58"/>
      <x:c r="C11" s="7"/>
      <x:c r="D11" s="7"/>
      <x:c r="E11" s="63"/>
      <x:c r="F11" s="50"/>
      <x:c r="G11" s="62" t="str">
        <x:f>IF(A11="","",Dashboard!$H$6)</x:f>
      </x:c>
      <x:c r="H11" s="62" t="str">
        <x:f>IF(A11="","",F11*G11)</x:f>
      </x:c>
      <x:c r="I11" s="49"/>
      <x:c r="J11" s="50"/>
      <x:c r="K11" s="2"/>
      <x:c r="L11" s="2"/>
      <x:c r="M11" s="2"/>
      <x:c r="N11" s="2"/>
      <x:c r="O11" s="2"/>
      <x:c r="P11" s="2"/>
      <x:c r="Q11" s="2"/>
      <x:c r="R11" s="2"/>
      <x:c r="S11" s="2"/>
      <x:c r="T11" s="2"/>
      <x:c r="U11" s="2"/>
      <x:c r="V11" s="2"/>
      <x:c r="W11" s="2"/>
      <x:c r="X11" s="2"/>
      <x:c r="Y11" s="2"/>
      <x:c r="Z11" s="2"/>
    </x:row>
    <x:row r="12">
      <x:c r="A12" s="49"/>
      <x:c r="B12" s="58"/>
      <x:c r="C12" s="7"/>
      <x:c r="D12" s="7"/>
      <x:c r="E12" s="63"/>
      <x:c r="F12" s="50"/>
      <x:c r="G12" s="62" t="str">
        <x:f>IF(A12="","",Dashboard!$H$6)</x:f>
      </x:c>
      <x:c r="H12" s="62" t="str">
        <x:f>IF(A12="","",F12*G12)</x:f>
      </x:c>
      <x:c r="I12" s="49"/>
      <x:c r="J12" s="50"/>
      <x:c r="K12" s="2"/>
      <x:c r="L12" s="2"/>
      <x:c r="M12" s="2"/>
      <x:c r="N12" s="2"/>
      <x:c r="O12" s="2"/>
      <x:c r="P12" s="2"/>
      <x:c r="Q12" s="2"/>
      <x:c r="R12" s="2"/>
      <x:c r="S12" s="2"/>
      <x:c r="T12" s="2"/>
      <x:c r="U12" s="2"/>
      <x:c r="V12" s="2"/>
      <x:c r="W12" s="2"/>
      <x:c r="X12" s="2"/>
      <x:c r="Y12" s="2"/>
      <x:c r="Z12" s="2"/>
    </x:row>
    <x:row r="13">
      <x:c r="A13" s="49"/>
      <x:c r="B13" s="58"/>
      <x:c r="C13" s="7"/>
      <x:c r="D13" s="7"/>
      <x:c r="E13" s="63"/>
      <x:c r="F13" s="50"/>
      <x:c r="G13" s="62" t="str">
        <x:f>IF(A13="","",Dashboard!$H$6)</x:f>
      </x:c>
      <x:c r="H13" s="62" t="str">
        <x:f>IF(A13="","",F13*G13)</x:f>
      </x:c>
      <x:c r="I13" s="49"/>
      <x:c r="J13" s="50"/>
      <x:c r="K13" s="2"/>
      <x:c r="L13" s="2"/>
      <x:c r="M13" s="2"/>
      <x:c r="N13" s="2"/>
      <x:c r="O13" s="2"/>
      <x:c r="P13" s="2"/>
      <x:c r="Q13" s="2"/>
      <x:c r="R13" s="2"/>
      <x:c r="S13" s="2"/>
      <x:c r="T13" s="2"/>
      <x:c r="U13" s="2"/>
      <x:c r="V13" s="2"/>
      <x:c r="W13" s="2"/>
      <x:c r="X13" s="2"/>
      <x:c r="Y13" s="2"/>
      <x:c r="Z13" s="2"/>
    </x:row>
    <x:row r="14">
      <x:c r="A14" s="49"/>
      <x:c r="B14" s="58"/>
      <x:c r="C14" s="7"/>
      <x:c r="D14" s="7"/>
      <x:c r="E14" s="63"/>
      <x:c r="F14" s="50"/>
      <x:c r="G14" s="62" t="str">
        <x:f>IF(A14="","",Dashboard!$H$6)</x:f>
      </x:c>
      <x:c r="H14" s="62" t="str">
        <x:f>IF(A14="","",F14*G14)</x:f>
      </x:c>
      <x:c r="I14" s="49"/>
      <x:c r="J14" s="50"/>
      <x:c r="K14" s="2"/>
      <x:c r="L14" s="2"/>
      <x:c r="M14" s="2"/>
      <x:c r="N14" s="2"/>
      <x:c r="O14" s="2"/>
      <x:c r="P14" s="2"/>
      <x:c r="Q14" s="2"/>
      <x:c r="R14" s="2"/>
      <x:c r="S14" s="2"/>
      <x:c r="T14" s="2"/>
      <x:c r="U14" s="2"/>
      <x:c r="V14" s="2"/>
      <x:c r="W14" s="2"/>
      <x:c r="X14" s="2"/>
      <x:c r="Y14" s="2"/>
      <x:c r="Z14" s="2"/>
    </x:row>
    <x:row r="15">
      <x:c r="A15" s="49"/>
      <x:c r="B15" s="58"/>
      <x:c r="C15" s="7"/>
      <x:c r="D15" s="7"/>
      <x:c r="E15" s="63"/>
      <x:c r="F15" s="50"/>
      <x:c r="G15" s="62" t="str">
        <x:f>IF(A15="","",Dashboard!$H$6)</x:f>
      </x:c>
      <x:c r="H15" s="62" t="str">
        <x:f>IF(A15="","",F15*G15)</x:f>
      </x:c>
      <x:c r="I15" s="49"/>
      <x:c r="J15" s="50"/>
      <x:c r="K15" s="2"/>
      <x:c r="L15" s="2"/>
      <x:c r="M15" s="2"/>
      <x:c r="N15" s="2"/>
      <x:c r="O15" s="2"/>
      <x:c r="P15" s="2"/>
      <x:c r="Q15" s="2"/>
      <x:c r="R15" s="2"/>
      <x:c r="S15" s="2"/>
      <x:c r="T15" s="2"/>
      <x:c r="U15" s="2"/>
      <x:c r="V15" s="2"/>
      <x:c r="W15" s="2"/>
      <x:c r="X15" s="2"/>
      <x:c r="Y15" s="2"/>
      <x:c r="Z15" s="2"/>
    </x:row>
    <x:row r="16">
      <x:c r="A16" s="49"/>
      <x:c r="B16" s="58"/>
      <x:c r="C16" s="7"/>
      <x:c r="D16" s="7"/>
      <x:c r="E16" s="63"/>
      <x:c r="F16" s="50"/>
      <x:c r="G16" s="62" t="str">
        <x:f>IF(A16="","",Dashboard!$H$6)</x:f>
      </x:c>
      <x:c r="H16" s="62" t="str">
        <x:f>IF(A16="","",F16*G16)</x:f>
      </x:c>
      <x:c r="I16" s="49"/>
      <x:c r="J16" s="50"/>
      <x:c r="K16" s="2"/>
      <x:c r="L16" s="2"/>
      <x:c r="M16" s="2"/>
      <x:c r="N16" s="2"/>
      <x:c r="O16" s="2"/>
      <x:c r="P16" s="2"/>
      <x:c r="Q16" s="2"/>
      <x:c r="R16" s="2"/>
      <x:c r="S16" s="2"/>
      <x:c r="T16" s="2"/>
      <x:c r="U16" s="2"/>
      <x:c r="V16" s="2"/>
      <x:c r="W16" s="2"/>
      <x:c r="X16" s="2"/>
      <x:c r="Y16" s="2"/>
      <x:c r="Z16" s="2"/>
    </x:row>
    <x:row r="17">
      <x:c r="A17" s="49"/>
      <x:c r="B17" s="58"/>
      <x:c r="C17" s="7"/>
      <x:c r="D17" s="7"/>
      <x:c r="E17" s="63"/>
      <x:c r="F17" s="50"/>
      <x:c r="G17" s="62" t="str">
        <x:f>IF(A17="","",Dashboard!$H$6)</x:f>
      </x:c>
      <x:c r="H17" s="62" t="str">
        <x:f>IF(A17="","",F17*G17)</x:f>
      </x:c>
      <x:c r="I17" s="49"/>
      <x:c r="J17" s="50"/>
      <x:c r="K17" s="2"/>
      <x:c r="L17" s="2"/>
      <x:c r="M17" s="2"/>
      <x:c r="N17" s="2"/>
      <x:c r="O17" s="2"/>
      <x:c r="P17" s="2"/>
      <x:c r="Q17" s="2"/>
      <x:c r="R17" s="2"/>
      <x:c r="S17" s="2"/>
      <x:c r="T17" s="2"/>
      <x:c r="U17" s="2"/>
      <x:c r="V17" s="2"/>
      <x:c r="W17" s="2"/>
      <x:c r="X17" s="2"/>
      <x:c r="Y17" s="2"/>
      <x:c r="Z17" s="2"/>
    </x:row>
    <x:row r="18">
      <x:c r="A18" s="49"/>
      <x:c r="B18" s="58"/>
      <x:c r="C18" s="7"/>
      <x:c r="D18" s="7"/>
      <x:c r="E18" s="63"/>
      <x:c r="F18" s="50"/>
      <x:c r="G18" s="62" t="str">
        <x:f>IF(A18="","",Dashboard!$H$6)</x:f>
      </x:c>
      <x:c r="H18" s="62" t="str">
        <x:f>IF(A18="","",F18*G18)</x:f>
      </x:c>
      <x:c r="I18" s="49"/>
      <x:c r="J18" s="50"/>
      <x:c r="K18" s="2"/>
      <x:c r="L18" s="2"/>
      <x:c r="M18" s="2"/>
      <x:c r="N18" s="2"/>
      <x:c r="O18" s="2"/>
      <x:c r="P18" s="2"/>
      <x:c r="Q18" s="2"/>
      <x:c r="R18" s="2"/>
      <x:c r="S18" s="2"/>
      <x:c r="T18" s="2"/>
      <x:c r="U18" s="2"/>
      <x:c r="V18" s="2"/>
      <x:c r="W18" s="2"/>
      <x:c r="X18" s="2"/>
      <x:c r="Y18" s="2"/>
      <x:c r="Z18" s="2"/>
    </x:row>
    <x:row r="19">
      <x:c r="A19" s="49"/>
      <x:c r="B19" s="58"/>
      <x:c r="C19" s="7"/>
      <x:c r="D19" s="7"/>
      <x:c r="E19" s="63"/>
      <x:c r="F19" s="50"/>
      <x:c r="G19" s="62" t="str">
        <x:f>IF(A19="","",Dashboard!$H$6)</x:f>
      </x:c>
      <x:c r="H19" s="62" t="str">
        <x:f>IF(A19="","",F19*G19)</x:f>
      </x:c>
      <x:c r="I19" s="49"/>
      <x:c r="J19" s="50"/>
      <x:c r="K19" s="2"/>
      <x:c r="L19" s="2"/>
      <x:c r="M19" s="2"/>
      <x:c r="N19" s="2"/>
      <x:c r="O19" s="2"/>
      <x:c r="P19" s="2"/>
      <x:c r="Q19" s="2"/>
      <x:c r="R19" s="2"/>
      <x:c r="S19" s="2"/>
      <x:c r="T19" s="2"/>
      <x:c r="U19" s="2"/>
      <x:c r="V19" s="2"/>
      <x:c r="W19" s="2"/>
      <x:c r="X19" s="2"/>
      <x:c r="Y19" s="2"/>
      <x:c r="Z19" s="2"/>
    </x:row>
    <x:row r="20">
      <x:c r="A20" s="49"/>
      <x:c r="B20" s="58"/>
      <x:c r="C20" s="7"/>
      <x:c r="D20" s="7"/>
      <x:c r="E20" s="63"/>
      <x:c r="F20" s="50"/>
      <x:c r="G20" s="62" t="str">
        <x:f>IF(A20="","",Dashboard!$H$6)</x:f>
      </x:c>
      <x:c r="H20" s="62" t="str">
        <x:f>IF(A20="","",F20*G20)</x:f>
      </x:c>
      <x:c r="I20" s="49"/>
      <x:c r="J20" s="50"/>
      <x:c r="K20" s="2"/>
      <x:c r="L20" s="2"/>
      <x:c r="M20" s="2"/>
      <x:c r="N20" s="2"/>
      <x:c r="O20" s="2"/>
      <x:c r="P20" s="2"/>
      <x:c r="Q20" s="2"/>
      <x:c r="R20" s="2"/>
      <x:c r="S20" s="2"/>
      <x:c r="T20" s="2"/>
      <x:c r="U20" s="2"/>
      <x:c r="V20" s="2"/>
      <x:c r="W20" s="2"/>
      <x:c r="X20" s="2"/>
      <x:c r="Y20" s="2"/>
      <x:c r="Z20" s="2"/>
    </x:row>
    <x:row r="21">
      <x:c r="A21" s="49"/>
      <x:c r="B21" s="58"/>
      <x:c r="C21" s="7"/>
      <x:c r="D21" s="7"/>
      <x:c r="E21" s="63"/>
      <x:c r="F21" s="50"/>
      <x:c r="G21" s="62" t="str">
        <x:f>IF(A21="","",Dashboard!$H$6)</x:f>
      </x:c>
      <x:c r="H21" s="62" t="str">
        <x:f>IF(A21="","",F21*G21)</x:f>
      </x:c>
      <x:c r="I21" s="49"/>
      <x:c r="J21" s="50"/>
      <x:c r="K21" s="2"/>
      <x:c r="L21" s="2"/>
      <x:c r="M21" s="2"/>
      <x:c r="N21" s="2"/>
      <x:c r="O21" s="2"/>
      <x:c r="P21" s="2"/>
      <x:c r="Q21" s="2"/>
      <x:c r="R21" s="2"/>
      <x:c r="S21" s="2"/>
      <x:c r="T21" s="2"/>
      <x:c r="U21" s="2"/>
      <x:c r="V21" s="2"/>
      <x:c r="W21" s="2"/>
      <x:c r="X21" s="2"/>
      <x:c r="Y21" s="2"/>
      <x:c r="Z21" s="2"/>
    </x:row>
    <x:row r="22">
      <x:c r="A22" s="49"/>
      <x:c r="B22" s="58"/>
      <x:c r="C22" s="7"/>
      <x:c r="D22" s="7"/>
      <x:c r="E22" s="63"/>
      <x:c r="F22" s="50"/>
      <x:c r="G22" s="62" t="str">
        <x:f>IF(A22="","",Dashboard!$H$6)</x:f>
      </x:c>
      <x:c r="H22" s="62" t="str">
        <x:f>IF(A22="","",F22*G22)</x:f>
      </x:c>
      <x:c r="I22" s="49"/>
      <x:c r="J22" s="50"/>
      <x:c r="K22" s="2"/>
      <x:c r="L22" s="2"/>
      <x:c r="M22" s="2"/>
      <x:c r="N22" s="2"/>
      <x:c r="O22" s="2"/>
      <x:c r="P22" s="2"/>
      <x:c r="Q22" s="2"/>
      <x:c r="R22" s="2"/>
      <x:c r="S22" s="2"/>
      <x:c r="T22" s="2"/>
      <x:c r="U22" s="2"/>
      <x:c r="V22" s="2"/>
      <x:c r="W22" s="2"/>
      <x:c r="X22" s="2"/>
      <x:c r="Y22" s="2"/>
      <x:c r="Z22" s="2"/>
    </x:row>
    <x:row r="23">
      <x:c r="A23" s="49"/>
      <x:c r="B23" s="58"/>
      <x:c r="C23" s="7"/>
      <x:c r="D23" s="7"/>
      <x:c r="E23" s="63"/>
      <x:c r="F23" s="50"/>
      <x:c r="G23" s="62" t="str">
        <x:f>IF(A23="","",Dashboard!$H$6)</x:f>
      </x:c>
      <x:c r="H23" s="62" t="str">
        <x:f>IF(A23="","",F23*G23)</x:f>
      </x:c>
      <x:c r="I23" s="49"/>
      <x:c r="J23" s="50"/>
      <x:c r="K23" s="2"/>
      <x:c r="L23" s="2"/>
      <x:c r="M23" s="2"/>
      <x:c r="N23" s="2"/>
      <x:c r="O23" s="2"/>
      <x:c r="P23" s="2"/>
      <x:c r="Q23" s="2"/>
      <x:c r="R23" s="2"/>
      <x:c r="S23" s="2"/>
      <x:c r="T23" s="2"/>
      <x:c r="U23" s="2"/>
      <x:c r="V23" s="2"/>
      <x:c r="W23" s="2"/>
      <x:c r="X23" s="2"/>
      <x:c r="Y23" s="2"/>
      <x:c r="Z23" s="2"/>
    </x:row>
    <x:row r="24">
      <x:c r="A24" s="49"/>
      <x:c r="B24" s="58"/>
      <x:c r="C24" s="7"/>
      <x:c r="D24" s="7"/>
      <x:c r="E24" s="63"/>
      <x:c r="F24" s="50"/>
      <x:c r="G24" s="62" t="str">
        <x:f>IF(A24="","",Dashboard!$H$6)</x:f>
      </x:c>
      <x:c r="H24" s="62" t="str">
        <x:f>IF(A24="","",F24*G24)</x:f>
      </x:c>
      <x:c r="I24" s="49"/>
      <x:c r="J24" s="50"/>
      <x:c r="K24" s="2"/>
      <x:c r="L24" s="2"/>
      <x:c r="M24" s="2"/>
      <x:c r="N24" s="2"/>
      <x:c r="O24" s="2"/>
      <x:c r="P24" s="2"/>
      <x:c r="Q24" s="2"/>
      <x:c r="R24" s="2"/>
      <x:c r="S24" s="2"/>
      <x:c r="T24" s="2"/>
      <x:c r="U24" s="2"/>
      <x:c r="V24" s="2"/>
      <x:c r="W24" s="2"/>
      <x:c r="X24" s="2"/>
      <x:c r="Y24" s="2"/>
      <x:c r="Z24" s="2"/>
    </x:row>
    <x:row r="25">
      <x:c r="A25" s="49"/>
      <x:c r="B25" s="58"/>
      <x:c r="C25" s="7"/>
      <x:c r="D25" s="7"/>
      <x:c r="E25" s="63"/>
      <x:c r="F25" s="50"/>
      <x:c r="G25" s="62" t="str">
        <x:f>IF(A25="","",Dashboard!$H$6)</x:f>
      </x:c>
      <x:c r="H25" s="62" t="str">
        <x:f>IF(A25="","",F25*G25)</x:f>
      </x:c>
      <x:c r="I25" s="49"/>
      <x:c r="J25" s="50"/>
      <x:c r="K25" s="2"/>
      <x:c r="L25" s="2"/>
      <x:c r="M25" s="2"/>
      <x:c r="N25" s="2"/>
      <x:c r="O25" s="2"/>
      <x:c r="P25" s="2"/>
      <x:c r="Q25" s="2"/>
      <x:c r="R25" s="2"/>
      <x:c r="S25" s="2"/>
      <x:c r="T25" s="2"/>
      <x:c r="U25" s="2"/>
      <x:c r="V25" s="2"/>
      <x:c r="W25" s="2"/>
      <x:c r="X25" s="2"/>
      <x:c r="Y25" s="2"/>
      <x:c r="Z25" s="2"/>
    </x:row>
    <x:row r="26">
      <x:c r="A26" s="49"/>
      <x:c r="B26" s="58"/>
      <x:c r="C26" s="7"/>
      <x:c r="D26" s="7"/>
      <x:c r="E26" s="63"/>
      <x:c r="F26" s="50"/>
      <x:c r="G26" s="62" t="str">
        <x:f>IF(A26="","",Dashboard!$H$6)</x:f>
      </x:c>
      <x:c r="H26" s="62" t="str">
        <x:f>IF(A26="","",F26*G26)</x:f>
      </x:c>
      <x:c r="I26" s="49"/>
      <x:c r="J26" s="50"/>
      <x:c r="K26" s="2"/>
      <x:c r="L26" s="2"/>
      <x:c r="M26" s="2"/>
      <x:c r="N26" s="2"/>
      <x:c r="O26" s="2"/>
      <x:c r="P26" s="2"/>
      <x:c r="Q26" s="2"/>
      <x:c r="R26" s="2"/>
      <x:c r="S26" s="2"/>
      <x:c r="T26" s="2"/>
      <x:c r="U26" s="2"/>
      <x:c r="V26" s="2"/>
      <x:c r="W26" s="2"/>
      <x:c r="X26" s="2"/>
      <x:c r="Y26" s="2"/>
      <x:c r="Z26" s="2"/>
    </x:row>
    <x:row r="27">
      <x:c r="A27" s="49"/>
      <x:c r="B27" s="58"/>
      <x:c r="C27" s="7"/>
      <x:c r="D27" s="7"/>
      <x:c r="E27" s="63"/>
      <x:c r="F27" s="50"/>
      <x:c r="G27" s="62" t="str">
        <x:f>IF(A27="","",Dashboard!$H$6)</x:f>
      </x:c>
      <x:c r="H27" s="62" t="str">
        <x:f>IF(A27="","",F27*G27)</x:f>
      </x:c>
      <x:c r="I27" s="49"/>
      <x:c r="J27" s="50"/>
      <x:c r="K27" s="2"/>
      <x:c r="L27" s="2"/>
      <x:c r="M27" s="2"/>
      <x:c r="N27" s="2"/>
      <x:c r="O27" s="2"/>
      <x:c r="P27" s="2"/>
      <x:c r="Q27" s="2"/>
      <x:c r="R27" s="2"/>
      <x:c r="S27" s="2"/>
      <x:c r="T27" s="2"/>
      <x:c r="U27" s="2"/>
      <x:c r="V27" s="2"/>
      <x:c r="W27" s="2"/>
      <x:c r="X27" s="2"/>
      <x:c r="Y27" s="2"/>
      <x:c r="Z27" s="2"/>
    </x:row>
    <x:row r="28">
      <x:c r="A28" s="49"/>
      <x:c r="B28" s="58"/>
      <x:c r="C28" s="7"/>
      <x:c r="D28" s="7"/>
      <x:c r="E28" s="63"/>
      <x:c r="F28" s="50"/>
      <x:c r="G28" s="62" t="str">
        <x:f>IF(A28="","",Dashboard!$H$6)</x:f>
      </x:c>
      <x:c r="H28" s="62" t="str">
        <x:f>IF(A28="","",F28*G28)</x:f>
      </x:c>
      <x:c r="I28" s="49"/>
      <x:c r="J28" s="50"/>
      <x:c r="K28" s="2"/>
      <x:c r="L28" s="2"/>
      <x:c r="M28" s="2"/>
      <x:c r="N28" s="2"/>
      <x:c r="O28" s="2"/>
      <x:c r="P28" s="2"/>
      <x:c r="Q28" s="2"/>
      <x:c r="R28" s="2"/>
      <x:c r="S28" s="2"/>
      <x:c r="T28" s="2"/>
      <x:c r="U28" s="2"/>
      <x:c r="V28" s="2"/>
      <x:c r="W28" s="2"/>
      <x:c r="X28" s="2"/>
      <x:c r="Y28" s="2"/>
      <x:c r="Z28" s="2"/>
    </x:row>
    <x:row r="29">
      <x:c r="A29" s="49"/>
      <x:c r="B29" s="58"/>
      <x:c r="C29" s="7"/>
      <x:c r="D29" s="7"/>
      <x:c r="E29" s="63"/>
      <x:c r="F29" s="50"/>
      <x:c r="G29" s="62" t="str">
        <x:f>IF(A29="","",Dashboard!$H$6)</x:f>
      </x:c>
      <x:c r="H29" s="62" t="str">
        <x:f>IF(A29="","",F29*G29)</x:f>
      </x:c>
      <x:c r="I29" s="49"/>
      <x:c r="J29" s="50"/>
      <x:c r="K29" s="2"/>
      <x:c r="L29" s="2"/>
      <x:c r="M29" s="2"/>
      <x:c r="N29" s="2"/>
      <x:c r="O29" s="2"/>
      <x:c r="P29" s="2"/>
      <x:c r="Q29" s="2"/>
      <x:c r="R29" s="2"/>
      <x:c r="S29" s="2"/>
      <x:c r="T29" s="2"/>
      <x:c r="U29" s="2"/>
      <x:c r="V29" s="2"/>
      <x:c r="W29" s="2"/>
      <x:c r="X29" s="2"/>
      <x:c r="Y29" s="2"/>
      <x:c r="Z29" s="2"/>
    </x:row>
    <x:row r="30">
      <x:c r="A30" s="49"/>
      <x:c r="B30" s="58"/>
      <x:c r="C30" s="7"/>
      <x:c r="D30" s="7"/>
      <x:c r="E30" s="63"/>
      <x:c r="F30" s="50"/>
      <x:c r="G30" s="62" t="str">
        <x:f>IF(A30="","",Dashboard!$H$6)</x:f>
      </x:c>
      <x:c r="H30" s="62" t="str">
        <x:f>IF(A30="","",F30*G30)</x:f>
      </x:c>
      <x:c r="I30" s="49"/>
      <x:c r="J30" s="50"/>
      <x:c r="K30" s="2"/>
      <x:c r="L30" s="2"/>
      <x:c r="M30" s="2"/>
      <x:c r="N30" s="2"/>
      <x:c r="O30" s="2"/>
      <x:c r="P30" s="2"/>
      <x:c r="Q30" s="2"/>
      <x:c r="R30" s="2"/>
      <x:c r="S30" s="2"/>
      <x:c r="T30" s="2"/>
      <x:c r="U30" s="2"/>
      <x:c r="V30" s="2"/>
      <x:c r="W30" s="2"/>
      <x:c r="X30" s="2"/>
      <x:c r="Y30" s="2"/>
      <x:c r="Z30" s="2"/>
    </x:row>
    <x:row r="31">
      <x:c r="A31" s="49"/>
      <x:c r="B31" s="58"/>
      <x:c r="C31" s="7"/>
      <x:c r="D31" s="7"/>
      <x:c r="E31" s="63"/>
      <x:c r="F31" s="50"/>
      <x:c r="G31" s="62" t="str">
        <x:f>IF(A31="","",Dashboard!$H$6)</x:f>
      </x:c>
      <x:c r="H31" s="62" t="str">
        <x:f>IF(A31="","",F31*G31)</x:f>
      </x:c>
      <x:c r="I31" s="49"/>
      <x:c r="J31" s="50"/>
      <x:c r="K31" s="2"/>
      <x:c r="L31" s="2"/>
      <x:c r="M31" s="2"/>
      <x:c r="N31" s="2"/>
      <x:c r="O31" s="2"/>
      <x:c r="P31" s="2"/>
      <x:c r="Q31" s="2"/>
      <x:c r="R31" s="2"/>
      <x:c r="S31" s="2"/>
      <x:c r="T31" s="2"/>
      <x:c r="U31" s="2"/>
      <x:c r="V31" s="2"/>
      <x:c r="W31" s="2"/>
      <x:c r="X31" s="2"/>
      <x:c r="Y31" s="2"/>
      <x:c r="Z31" s="2"/>
    </x:row>
    <x:row r="32">
      <x:c r="A32" s="49"/>
      <x:c r="B32" s="58"/>
      <x:c r="C32" s="7"/>
      <x:c r="D32" s="7"/>
      <x:c r="E32" s="63"/>
      <x:c r="F32" s="50"/>
      <x:c r="G32" s="62" t="str">
        <x:f>IF(A32="","",Dashboard!$H$6)</x:f>
      </x:c>
      <x:c r="H32" s="62" t="str">
        <x:f>IF(A32="","",F32*G32)</x:f>
      </x:c>
      <x:c r="I32" s="49"/>
      <x:c r="J32" s="50"/>
      <x:c r="K32" s="2"/>
      <x:c r="L32" s="2"/>
      <x:c r="M32" s="2"/>
      <x:c r="N32" s="2"/>
      <x:c r="O32" s="2"/>
      <x:c r="P32" s="2"/>
      <x:c r="Q32" s="2"/>
      <x:c r="R32" s="2"/>
      <x:c r="S32" s="2"/>
      <x:c r="T32" s="2"/>
      <x:c r="U32" s="2"/>
      <x:c r="V32" s="2"/>
      <x:c r="W32" s="2"/>
      <x:c r="X32" s="2"/>
      <x:c r="Y32" s="2"/>
      <x:c r="Z32" s="2"/>
    </x:row>
    <x:row r="33">
      <x:c r="A33" s="49"/>
      <x:c r="B33" s="58"/>
      <x:c r="C33" s="7"/>
      <x:c r="D33" s="7"/>
      <x:c r="E33" s="63"/>
      <x:c r="F33" s="50"/>
      <x:c r="G33" s="62" t="str">
        <x:f>IF(A33="","",Dashboard!$H$6)</x:f>
      </x:c>
      <x:c r="H33" s="62" t="str">
        <x:f>IF(A33="","",F33*G33)</x:f>
      </x:c>
      <x:c r="I33" s="49"/>
      <x:c r="J33" s="50"/>
      <x:c r="K33" s="2"/>
      <x:c r="L33" s="2"/>
      <x:c r="M33" s="2"/>
      <x:c r="N33" s="2"/>
      <x:c r="O33" s="2"/>
      <x:c r="P33" s="2"/>
      <x:c r="Q33" s="2"/>
      <x:c r="R33" s="2"/>
      <x:c r="S33" s="2"/>
      <x:c r="T33" s="2"/>
      <x:c r="U33" s="2"/>
      <x:c r="V33" s="2"/>
      <x:c r="W33" s="2"/>
      <x:c r="X33" s="2"/>
      <x:c r="Y33" s="2"/>
      <x:c r="Z33" s="2"/>
    </x:row>
    <x:row r="34">
      <x:c r="A34" s="49"/>
      <x:c r="B34" s="58"/>
      <x:c r="C34" s="7"/>
      <x:c r="D34" s="7"/>
      <x:c r="E34" s="63"/>
      <x:c r="F34" s="50"/>
      <x:c r="G34" s="62" t="str">
        <x:f>IF(A34="","",Dashboard!$H$6)</x:f>
      </x:c>
      <x:c r="H34" s="62" t="str">
        <x:f>IF(A34="","",F34*G34)</x:f>
      </x:c>
      <x:c r="I34" s="49"/>
      <x:c r="J34" s="50"/>
      <x:c r="K34" s="2"/>
      <x:c r="L34" s="2"/>
      <x:c r="M34" s="2"/>
      <x:c r="N34" s="2"/>
      <x:c r="O34" s="2"/>
      <x:c r="P34" s="2"/>
      <x:c r="Q34" s="2"/>
      <x:c r="R34" s="2"/>
      <x:c r="S34" s="2"/>
      <x:c r="T34" s="2"/>
      <x:c r="U34" s="2"/>
      <x:c r="V34" s="2"/>
      <x:c r="W34" s="2"/>
      <x:c r="X34" s="2"/>
      <x:c r="Y34" s="2"/>
      <x:c r="Z34" s="2"/>
    </x:row>
    <x:row r="35">
      <x:c r="A35" s="49"/>
      <x:c r="B35" s="58"/>
      <x:c r="C35" s="7"/>
      <x:c r="D35" s="7"/>
      <x:c r="E35" s="63"/>
      <x:c r="F35" s="50"/>
      <x:c r="G35" s="62" t="str">
        <x:f>IF(A35="","",Dashboard!$H$6)</x:f>
      </x:c>
      <x:c r="H35" s="62" t="str">
        <x:f>IF(A35="","",F35*G35)</x:f>
      </x:c>
      <x:c r="I35" s="49"/>
      <x:c r="J35" s="50"/>
      <x:c r="K35" s="2"/>
      <x:c r="L35" s="2"/>
      <x:c r="M35" s="2"/>
      <x:c r="N35" s="2"/>
      <x:c r="O35" s="2"/>
      <x:c r="P35" s="2"/>
      <x:c r="Q35" s="2"/>
      <x:c r="R35" s="2"/>
      <x:c r="S35" s="2"/>
      <x:c r="T35" s="2"/>
      <x:c r="U35" s="2"/>
      <x:c r="V35" s="2"/>
      <x:c r="W35" s="2"/>
      <x:c r="X35" s="2"/>
      <x:c r="Y35" s="2"/>
      <x:c r="Z35" s="2"/>
    </x:row>
    <x:row r="36">
      <x:c r="A36" s="49"/>
      <x:c r="B36" s="58"/>
      <x:c r="C36" s="7"/>
      <x:c r="D36" s="7"/>
      <x:c r="E36" s="63"/>
      <x:c r="F36" s="50"/>
      <x:c r="G36" s="62" t="str">
        <x:f>IF(A36="","",Dashboard!$H$6)</x:f>
      </x:c>
      <x:c r="H36" s="62" t="str">
        <x:f>IF(A36="","",F36*G36)</x:f>
      </x:c>
      <x:c r="I36" s="49"/>
      <x:c r="J36" s="50"/>
      <x:c r="K36" s="2"/>
      <x:c r="L36" s="2"/>
      <x:c r="M36" s="2"/>
      <x:c r="N36" s="2"/>
      <x:c r="O36" s="2"/>
      <x:c r="P36" s="2"/>
      <x:c r="Q36" s="2"/>
      <x:c r="R36" s="2"/>
      <x:c r="S36" s="2"/>
      <x:c r="T36" s="2"/>
      <x:c r="U36" s="2"/>
      <x:c r="V36" s="2"/>
      <x:c r="W36" s="2"/>
      <x:c r="X36" s="2"/>
      <x:c r="Y36" s="2"/>
      <x:c r="Z36" s="2"/>
    </x:row>
    <x:row r="37">
      <x:c r="A37" s="49"/>
      <x:c r="B37" s="58"/>
      <x:c r="C37" s="7"/>
      <x:c r="D37" s="7"/>
      <x:c r="E37" s="63"/>
      <x:c r="F37" s="50"/>
      <x:c r="G37" s="62" t="str">
        <x:f>IF(A37="","",Dashboard!$H$6)</x:f>
      </x:c>
      <x:c r="H37" s="62" t="str">
        <x:f>IF(A37="","",F37*G37)</x:f>
      </x:c>
      <x:c r="I37" s="49"/>
      <x:c r="J37" s="50"/>
      <x:c r="K37" s="2"/>
      <x:c r="L37" s="2"/>
      <x:c r="M37" s="2"/>
      <x:c r="N37" s="2"/>
      <x:c r="O37" s="2"/>
      <x:c r="P37" s="2"/>
      <x:c r="Q37" s="2"/>
      <x:c r="R37" s="2"/>
      <x:c r="S37" s="2"/>
      <x:c r="T37" s="2"/>
      <x:c r="U37" s="2"/>
      <x:c r="V37" s="2"/>
      <x:c r="W37" s="2"/>
      <x:c r="X37" s="2"/>
      <x:c r="Y37" s="2"/>
      <x:c r="Z37" s="2"/>
    </x:row>
    <x:row r="38">
      <x:c r="A38" s="49"/>
      <x:c r="B38" s="58"/>
      <x:c r="C38" s="7"/>
      <x:c r="D38" s="7"/>
      <x:c r="E38" s="63"/>
      <x:c r="F38" s="50"/>
      <x:c r="G38" s="62" t="str">
        <x:f>IF(A38="","",Dashboard!$H$6)</x:f>
      </x:c>
      <x:c r="H38" s="62" t="str">
        <x:f>IF(A38="","",F38*G38)</x:f>
      </x:c>
      <x:c r="I38" s="49"/>
      <x:c r="J38" s="50"/>
      <x:c r="K38" s="2"/>
      <x:c r="L38" s="2"/>
      <x:c r="M38" s="2"/>
      <x:c r="N38" s="2"/>
      <x:c r="O38" s="2"/>
      <x:c r="P38" s="2"/>
      <x:c r="Q38" s="2"/>
      <x:c r="R38" s="2"/>
      <x:c r="S38" s="2"/>
      <x:c r="T38" s="2"/>
      <x:c r="U38" s="2"/>
      <x:c r="V38" s="2"/>
      <x:c r="W38" s="2"/>
      <x:c r="X38" s="2"/>
      <x:c r="Y38" s="2"/>
      <x:c r="Z38" s="2"/>
    </x:row>
    <x:row r="39">
      <x:c r="A39" s="49"/>
      <x:c r="B39" s="58"/>
      <x:c r="C39" s="7"/>
      <x:c r="D39" s="7"/>
      <x:c r="E39" s="63"/>
      <x:c r="F39" s="50"/>
      <x:c r="G39" s="62" t="str">
        <x:f>IF(A39="","",Dashboard!$H$6)</x:f>
      </x:c>
      <x:c r="H39" s="62" t="str">
        <x:f>IF(A39="","",F39*G39)</x:f>
      </x:c>
      <x:c r="I39" s="49"/>
      <x:c r="J39" s="50"/>
      <x:c r="K39" s="2"/>
      <x:c r="L39" s="2"/>
      <x:c r="M39" s="2"/>
      <x:c r="N39" s="2"/>
      <x:c r="O39" s="2"/>
      <x:c r="P39" s="2"/>
      <x:c r="Q39" s="2"/>
      <x:c r="R39" s="2"/>
      <x:c r="S39" s="2"/>
      <x:c r="T39" s="2"/>
      <x:c r="U39" s="2"/>
      <x:c r="V39" s="2"/>
      <x:c r="W39" s="2"/>
      <x:c r="X39" s="2"/>
      <x:c r="Y39" s="2"/>
      <x:c r="Z39" s="2"/>
    </x:row>
    <x:row r="40">
      <x:c r="A40" s="49"/>
      <x:c r="B40" s="58"/>
      <x:c r="C40" s="7"/>
      <x:c r="D40" s="7"/>
      <x:c r="E40" s="63"/>
      <x:c r="F40" s="50"/>
      <x:c r="G40" s="62" t="str">
        <x:f>IF(A40="","",Dashboard!$H$6)</x:f>
      </x:c>
      <x:c r="H40" s="62" t="str">
        <x:f>IF(A40="","",F40*G40)</x:f>
      </x:c>
      <x:c r="I40" s="49"/>
      <x:c r="J40" s="50"/>
      <x:c r="K40" s="2"/>
      <x:c r="L40" s="2"/>
      <x:c r="M40" s="2"/>
      <x:c r="N40" s="2"/>
      <x:c r="O40" s="2"/>
      <x:c r="P40" s="2"/>
      <x:c r="Q40" s="2"/>
      <x:c r="R40" s="2"/>
      <x:c r="S40" s="2"/>
      <x:c r="T40" s="2"/>
      <x:c r="U40" s="2"/>
      <x:c r="V40" s="2"/>
      <x:c r="W40" s="2"/>
      <x:c r="X40" s="2"/>
      <x:c r="Y40" s="2"/>
      <x:c r="Z40" s="2"/>
    </x:row>
    <x:row r="41">
      <x:c r="A41" s="49"/>
      <x:c r="B41" s="58"/>
      <x:c r="C41" s="7"/>
      <x:c r="D41" s="7"/>
      <x:c r="E41" s="63"/>
      <x:c r="F41" s="50"/>
      <x:c r="G41" s="62" t="str">
        <x:f>IF(A41="","",Dashboard!$H$6)</x:f>
      </x:c>
      <x:c r="H41" s="62" t="str">
        <x:f>IF(A41="","",F41*G41)</x:f>
      </x:c>
      <x:c r="I41" s="49"/>
      <x:c r="J41" s="50"/>
      <x:c r="K41" s="2"/>
      <x:c r="L41" s="2"/>
      <x:c r="M41" s="2"/>
      <x:c r="N41" s="2"/>
      <x:c r="O41" s="2"/>
      <x:c r="P41" s="2"/>
      <x:c r="Q41" s="2"/>
      <x:c r="R41" s="2"/>
      <x:c r="S41" s="2"/>
      <x:c r="T41" s="2"/>
      <x:c r="U41" s="2"/>
      <x:c r="V41" s="2"/>
      <x:c r="W41" s="2"/>
      <x:c r="X41" s="2"/>
      <x:c r="Y41" s="2"/>
      <x:c r="Z41" s="2"/>
    </x:row>
    <x:row r="42">
      <x:c r="A42" s="49"/>
      <x:c r="B42" s="58"/>
      <x:c r="C42" s="7"/>
      <x:c r="D42" s="7"/>
      <x:c r="E42" s="63"/>
      <x:c r="F42" s="50"/>
      <x:c r="G42" s="62" t="str">
        <x:f>IF(A42="","",Dashboard!$H$6)</x:f>
      </x:c>
      <x:c r="H42" s="62" t="str">
        <x:f>IF(A42="","",F42*G42)</x:f>
      </x:c>
      <x:c r="I42" s="49"/>
      <x:c r="J42" s="50"/>
      <x:c r="K42" s="2"/>
      <x:c r="L42" s="2"/>
      <x:c r="M42" s="2"/>
      <x:c r="N42" s="2"/>
      <x:c r="O42" s="2"/>
      <x:c r="P42" s="2"/>
      <x:c r="Q42" s="2"/>
      <x:c r="R42" s="2"/>
      <x:c r="S42" s="2"/>
      <x:c r="T42" s="2"/>
      <x:c r="U42" s="2"/>
      <x:c r="V42" s="2"/>
      <x:c r="W42" s="2"/>
      <x:c r="X42" s="2"/>
      <x:c r="Y42" s="2"/>
      <x:c r="Z42" s="2"/>
    </x:row>
    <x:row r="43">
      <x:c r="A43" s="49"/>
      <x:c r="B43" s="58"/>
      <x:c r="C43" s="7"/>
      <x:c r="D43" s="7"/>
      <x:c r="E43" s="63"/>
      <x:c r="F43" s="50"/>
      <x:c r="G43" s="62" t="str">
        <x:f>IF(A43="","",Dashboard!$H$6)</x:f>
      </x:c>
      <x:c r="H43" s="62" t="str">
        <x:f>IF(A43="","",F43*G43)</x:f>
      </x:c>
      <x:c r="I43" s="49"/>
      <x:c r="J43" s="50"/>
      <x:c r="K43" s="2"/>
      <x:c r="L43" s="2"/>
      <x:c r="M43" s="2"/>
      <x:c r="N43" s="2"/>
      <x:c r="O43" s="2"/>
      <x:c r="P43" s="2"/>
      <x:c r="Q43" s="2"/>
      <x:c r="R43" s="2"/>
      <x:c r="S43" s="2"/>
      <x:c r="T43" s="2"/>
      <x:c r="U43" s="2"/>
      <x:c r="V43" s="2"/>
      <x:c r="W43" s="2"/>
      <x:c r="X43" s="2"/>
      <x:c r="Y43" s="2"/>
      <x:c r="Z43" s="2"/>
    </x:row>
    <x:row r="44">
      <x:c r="A44" s="49"/>
      <x:c r="B44" s="58"/>
      <x:c r="C44" s="7"/>
      <x:c r="D44" s="7"/>
      <x:c r="E44" s="63"/>
      <x:c r="F44" s="50"/>
      <x:c r="G44" s="62" t="str">
        <x:f>IF(A44="","",Dashboard!$H$6)</x:f>
      </x:c>
      <x:c r="H44" s="62" t="str">
        <x:f>IF(A44="","",F44*G44)</x:f>
      </x:c>
      <x:c r="I44" s="49"/>
      <x:c r="J44" s="50"/>
      <x:c r="K44" s="2"/>
      <x:c r="L44" s="2"/>
      <x:c r="M44" s="2"/>
      <x:c r="N44" s="2"/>
      <x:c r="O44" s="2"/>
      <x:c r="P44" s="2"/>
      <x:c r="Q44" s="2"/>
      <x:c r="R44" s="2"/>
      <x:c r="S44" s="2"/>
      <x:c r="T44" s="2"/>
      <x:c r="U44" s="2"/>
      <x:c r="V44" s="2"/>
      <x:c r="W44" s="2"/>
      <x:c r="X44" s="2"/>
      <x:c r="Y44" s="2"/>
      <x:c r="Z44" s="2"/>
    </x:row>
    <x:row r="45">
      <x:c r="A45" s="49"/>
      <x:c r="B45" s="58"/>
      <x:c r="C45" s="7"/>
      <x:c r="D45" s="7"/>
      <x:c r="E45" s="63"/>
      <x:c r="F45" s="50"/>
      <x:c r="G45" s="62" t="str">
        <x:f>IF(A45="","",Dashboard!$H$6)</x:f>
      </x:c>
      <x:c r="H45" s="62" t="str">
        <x:f>IF(A45="","",F45*G45)</x:f>
      </x:c>
      <x:c r="I45" s="49"/>
      <x:c r="J45" s="50"/>
      <x:c r="K45" s="2"/>
      <x:c r="L45" s="2"/>
      <x:c r="M45" s="2"/>
      <x:c r="N45" s="2"/>
      <x:c r="O45" s="2"/>
      <x:c r="P45" s="2"/>
      <x:c r="Q45" s="2"/>
      <x:c r="R45" s="2"/>
      <x:c r="S45" s="2"/>
      <x:c r="T45" s="2"/>
      <x:c r="U45" s="2"/>
      <x:c r="V45" s="2"/>
      <x:c r="W45" s="2"/>
      <x:c r="X45" s="2"/>
      <x:c r="Y45" s="2"/>
      <x:c r="Z45" s="2"/>
    </x:row>
    <x:row r="46">
      <x:c r="A46" s="49"/>
      <x:c r="B46" s="58"/>
      <x:c r="C46" s="7"/>
      <x:c r="D46" s="7"/>
      <x:c r="E46" s="63"/>
      <x:c r="F46" s="50"/>
      <x:c r="G46" s="62" t="str">
        <x:f>IF(A46="","",Dashboard!$H$6)</x:f>
      </x:c>
      <x:c r="H46" s="62" t="str">
        <x:f>IF(A46="","",F46*G46)</x:f>
      </x:c>
      <x:c r="I46" s="49"/>
      <x:c r="J46" s="50"/>
      <x:c r="K46" s="2"/>
      <x:c r="L46" s="2"/>
      <x:c r="M46" s="2"/>
      <x:c r="N46" s="2"/>
      <x:c r="O46" s="2"/>
      <x:c r="P46" s="2"/>
      <x:c r="Q46" s="2"/>
      <x:c r="R46" s="2"/>
      <x:c r="S46" s="2"/>
      <x:c r="T46" s="2"/>
      <x:c r="U46" s="2"/>
      <x:c r="V46" s="2"/>
      <x:c r="W46" s="2"/>
      <x:c r="X46" s="2"/>
      <x:c r="Y46" s="2"/>
      <x:c r="Z46" s="2"/>
    </x:row>
    <x:row r="47">
      <x:c r="A47" s="49"/>
      <x:c r="B47" s="58"/>
      <x:c r="C47" s="7"/>
      <x:c r="D47" s="7"/>
      <x:c r="E47" s="63"/>
      <x:c r="F47" s="50"/>
      <x:c r="G47" s="62" t="str">
        <x:f>IF(A47="","",Dashboard!$H$6)</x:f>
      </x:c>
      <x:c r="H47" s="62" t="str">
        <x:f>IF(A47="","",F47*G47)</x:f>
      </x:c>
      <x:c r="I47" s="49"/>
      <x:c r="J47" s="50"/>
      <x:c r="K47" s="2"/>
      <x:c r="L47" s="2"/>
      <x:c r="M47" s="2"/>
      <x:c r="N47" s="2"/>
      <x:c r="O47" s="2"/>
      <x:c r="P47" s="2"/>
      <x:c r="Q47" s="2"/>
      <x:c r="R47" s="2"/>
      <x:c r="S47" s="2"/>
      <x:c r="T47" s="2"/>
      <x:c r="U47" s="2"/>
      <x:c r="V47" s="2"/>
      <x:c r="W47" s="2"/>
      <x:c r="X47" s="2"/>
      <x:c r="Y47" s="2"/>
      <x:c r="Z47" s="2"/>
    </x:row>
    <x:row r="48">
      <x:c r="A48" s="49"/>
      <x:c r="B48" s="58"/>
      <x:c r="C48" s="7"/>
      <x:c r="D48" s="7"/>
      <x:c r="E48" s="63"/>
      <x:c r="F48" s="50"/>
      <x:c r="G48" s="62" t="str">
        <x:f>IF(A48="","",Dashboard!$H$6)</x:f>
      </x:c>
      <x:c r="H48" s="62" t="str">
        <x:f>IF(A48="","",F48*G48)</x:f>
      </x:c>
      <x:c r="I48" s="49"/>
      <x:c r="J48" s="50"/>
      <x:c r="K48" s="2"/>
      <x:c r="L48" s="2"/>
      <x:c r="M48" s="2"/>
      <x:c r="N48" s="2"/>
      <x:c r="O48" s="2"/>
      <x:c r="P48" s="2"/>
      <x:c r="Q48" s="2"/>
      <x:c r="R48" s="2"/>
      <x:c r="S48" s="2"/>
      <x:c r="T48" s="2"/>
      <x:c r="U48" s="2"/>
      <x:c r="V48" s="2"/>
      <x:c r="W48" s="2"/>
      <x:c r="X48" s="2"/>
      <x:c r="Y48" s="2"/>
      <x:c r="Z48" s="2"/>
    </x:row>
    <x:row r="49">
      <x:c r="A49" s="49"/>
      <x:c r="B49" s="58"/>
      <x:c r="C49" s="7"/>
      <x:c r="D49" s="7"/>
      <x:c r="E49" s="63"/>
      <x:c r="F49" s="50"/>
      <x:c r="G49" s="62" t="str">
        <x:f>IF(A49="","",Dashboard!$H$6)</x:f>
      </x:c>
      <x:c r="H49" s="62" t="str">
        <x:f>IF(A49="","",F49*G49)</x:f>
      </x:c>
      <x:c r="I49" s="49"/>
      <x:c r="J49" s="50"/>
      <x:c r="K49" s="2"/>
      <x:c r="L49" s="2"/>
      <x:c r="M49" s="2"/>
      <x:c r="N49" s="2"/>
      <x:c r="O49" s="2"/>
      <x:c r="P49" s="2"/>
      <x:c r="Q49" s="2"/>
      <x:c r="R49" s="2"/>
      <x:c r="S49" s="2"/>
      <x:c r="T49" s="2"/>
      <x:c r="U49" s="2"/>
      <x:c r="V49" s="2"/>
      <x:c r="W49" s="2"/>
      <x:c r="X49" s="2"/>
      <x:c r="Y49" s="2"/>
      <x:c r="Z49" s="2"/>
    </x:row>
    <x:row r="50">
      <x:c r="A50" s="49"/>
      <x:c r="B50" s="58"/>
      <x:c r="C50" s="7"/>
      <x:c r="D50" s="7"/>
      <x:c r="E50" s="63"/>
      <x:c r="F50" s="50"/>
      <x:c r="G50" s="62" t="str">
        <x:f>IF(A50="","",Dashboard!$H$6)</x:f>
      </x:c>
      <x:c r="H50" s="62" t="str">
        <x:f>IF(A50="","",F50*G50)</x:f>
      </x:c>
      <x:c r="I50" s="49"/>
      <x:c r="J50" s="50"/>
      <x:c r="K50" s="2"/>
      <x:c r="L50" s="2"/>
      <x:c r="M50" s="2"/>
      <x:c r="N50" s="2"/>
      <x:c r="O50" s="2"/>
      <x:c r="P50" s="2"/>
      <x:c r="Q50" s="2"/>
      <x:c r="R50" s="2"/>
      <x:c r="S50" s="2"/>
      <x:c r="T50" s="2"/>
      <x:c r="U50" s="2"/>
      <x:c r="V50" s="2"/>
      <x:c r="W50" s="2"/>
      <x:c r="X50" s="2"/>
      <x:c r="Y50" s="2"/>
      <x:c r="Z50" s="2"/>
    </x:row>
    <x:row r="51">
      <x:c r="A51" s="49"/>
      <x:c r="B51" s="58"/>
      <x:c r="C51" s="7"/>
      <x:c r="D51" s="7"/>
      <x:c r="E51" s="63"/>
      <x:c r="F51" s="50"/>
      <x:c r="G51" s="62" t="str">
        <x:f>IF(A51="","",Dashboard!$H$6)</x:f>
      </x:c>
      <x:c r="H51" s="62" t="str">
        <x:f>IF(A51="","",F51*G51)</x:f>
      </x:c>
      <x:c r="I51" s="49"/>
      <x:c r="J51" s="50"/>
      <x:c r="K51" s="2"/>
      <x:c r="L51" s="2"/>
      <x:c r="M51" s="2"/>
      <x:c r="N51" s="2"/>
      <x:c r="O51" s="2"/>
      <x:c r="P51" s="2"/>
      <x:c r="Q51" s="2"/>
      <x:c r="R51" s="2"/>
      <x:c r="S51" s="2"/>
      <x:c r="T51" s="2"/>
      <x:c r="U51" s="2"/>
      <x:c r="V51" s="2"/>
      <x:c r="W51" s="2"/>
      <x:c r="X51" s="2"/>
      <x:c r="Y51" s="2"/>
      <x:c r="Z51" s="2"/>
    </x:row>
    <x:row r="52">
      <x:c r="A52" s="49"/>
      <x:c r="B52" s="58"/>
      <x:c r="C52" s="7"/>
      <x:c r="D52" s="7"/>
      <x:c r="E52" s="63"/>
      <x:c r="F52" s="50"/>
      <x:c r="G52" s="62" t="str">
        <x:f>IF(A52="","",Dashboard!$H$6)</x:f>
      </x:c>
      <x:c r="H52" s="62" t="str">
        <x:f>IF(A52="","",F52*G52)</x:f>
      </x:c>
      <x:c r="I52" s="49"/>
      <x:c r="J52" s="50"/>
      <x:c r="K52" s="2"/>
      <x:c r="L52" s="2"/>
      <x:c r="M52" s="2"/>
      <x:c r="N52" s="2"/>
      <x:c r="O52" s="2"/>
      <x:c r="P52" s="2"/>
      <x:c r="Q52" s="2"/>
      <x:c r="R52" s="2"/>
      <x:c r="S52" s="2"/>
      <x:c r="T52" s="2"/>
      <x:c r="U52" s="2"/>
      <x:c r="V52" s="2"/>
      <x:c r="W52" s="2"/>
      <x:c r="X52" s="2"/>
      <x:c r="Y52" s="2"/>
      <x:c r="Z52" s="2"/>
    </x:row>
    <x:row r="53">
      <x:c r="A53" s="49"/>
      <x:c r="B53" s="58"/>
      <x:c r="C53" s="7"/>
      <x:c r="D53" s="7"/>
      <x:c r="E53" s="63"/>
      <x:c r="F53" s="50"/>
      <x:c r="G53" s="62" t="str">
        <x:f>IF(A53="","",Dashboard!$H$6)</x:f>
      </x:c>
      <x:c r="H53" s="62" t="str">
        <x:f>IF(A53="","",F53*G53)</x:f>
      </x:c>
      <x:c r="I53" s="49"/>
      <x:c r="J53" s="50"/>
      <x:c r="K53" s="2"/>
      <x:c r="L53" s="2"/>
      <x:c r="M53" s="2"/>
      <x:c r="N53" s="2"/>
      <x:c r="O53" s="2"/>
      <x:c r="P53" s="2"/>
      <x:c r="Q53" s="2"/>
      <x:c r="R53" s="2"/>
      <x:c r="S53" s="2"/>
      <x:c r="T53" s="2"/>
      <x:c r="U53" s="2"/>
      <x:c r="V53" s="2"/>
      <x:c r="W53" s="2"/>
      <x:c r="X53" s="2"/>
      <x:c r="Y53" s="2"/>
      <x:c r="Z53" s="2"/>
    </x:row>
    <x:row r="54">
      <x:c r="A54" s="49"/>
      <x:c r="B54" s="58"/>
      <x:c r="C54" s="7"/>
      <x:c r="D54" s="7"/>
      <x:c r="E54" s="63"/>
      <x:c r="F54" s="50"/>
      <x:c r="G54" s="62" t="str">
        <x:f>IF(A54="","",Dashboard!$H$6)</x:f>
      </x:c>
      <x:c r="H54" s="62" t="str">
        <x:f>IF(A54="","",F54*G54)</x:f>
      </x:c>
      <x:c r="I54" s="49"/>
      <x:c r="J54" s="50"/>
      <x:c r="K54" s="2"/>
      <x:c r="L54" s="2"/>
      <x:c r="M54" s="2"/>
      <x:c r="N54" s="2"/>
      <x:c r="O54" s="2"/>
      <x:c r="P54" s="2"/>
      <x:c r="Q54" s="2"/>
      <x:c r="R54" s="2"/>
      <x:c r="S54" s="2"/>
      <x:c r="T54" s="2"/>
      <x:c r="U54" s="2"/>
      <x:c r="V54" s="2"/>
      <x:c r="W54" s="2"/>
      <x:c r="X54" s="2"/>
      <x:c r="Y54" s="2"/>
      <x:c r="Z54" s="2"/>
    </x:row>
    <x:row r="55">
      <x:c r="A55" s="49"/>
      <x:c r="B55" s="58"/>
      <x:c r="C55" s="7"/>
      <x:c r="D55" s="7"/>
      <x:c r="E55" s="63"/>
      <x:c r="F55" s="50"/>
      <x:c r="G55" s="62" t="str">
        <x:f>IF(A55="","",Dashboard!$H$6)</x:f>
      </x:c>
      <x:c r="H55" s="62" t="str">
        <x:f>IF(A55="","",F55*G55)</x:f>
      </x:c>
      <x:c r="I55" s="49"/>
      <x:c r="J55" s="50"/>
      <x:c r="K55" s="2"/>
      <x:c r="L55" s="2"/>
      <x:c r="M55" s="2"/>
      <x:c r="N55" s="2"/>
      <x:c r="O55" s="2"/>
      <x:c r="P55" s="2"/>
      <x:c r="Q55" s="2"/>
      <x:c r="R55" s="2"/>
      <x:c r="S55" s="2"/>
      <x:c r="T55" s="2"/>
      <x:c r="U55" s="2"/>
      <x:c r="V55" s="2"/>
      <x:c r="W55" s="2"/>
      <x:c r="X55" s="2"/>
      <x:c r="Y55" s="2"/>
      <x:c r="Z55" s="2"/>
    </x:row>
    <x:row r="56">
      <x:c r="A56" s="49"/>
      <x:c r="B56" s="58"/>
      <x:c r="C56" s="7"/>
      <x:c r="D56" s="7"/>
      <x:c r="E56" s="63"/>
      <x:c r="F56" s="50"/>
      <x:c r="G56" s="62" t="str">
        <x:f>IF(A56="","",Dashboard!$H$6)</x:f>
      </x:c>
      <x:c r="H56" s="62" t="str">
        <x:f>IF(A56="","",F56*G56)</x:f>
      </x:c>
      <x:c r="I56" s="49"/>
      <x:c r="J56" s="50"/>
      <x:c r="K56" s="2"/>
      <x:c r="L56" s="2"/>
      <x:c r="M56" s="2"/>
      <x:c r="N56" s="2"/>
      <x:c r="O56" s="2"/>
      <x:c r="P56" s="2"/>
      <x:c r="Q56" s="2"/>
      <x:c r="R56" s="2"/>
      <x:c r="S56" s="2"/>
      <x:c r="T56" s="2"/>
      <x:c r="U56" s="2"/>
      <x:c r="V56" s="2"/>
      <x:c r="W56" s="2"/>
      <x:c r="X56" s="2"/>
      <x:c r="Y56" s="2"/>
      <x:c r="Z56" s="2"/>
    </x:row>
    <x:row r="57">
      <x:c r="A57" s="49"/>
      <x:c r="B57" s="58"/>
      <x:c r="C57" s="7"/>
      <x:c r="D57" s="7"/>
      <x:c r="E57" s="63"/>
      <x:c r="F57" s="50"/>
      <x:c r="G57" s="62" t="str">
        <x:f>IF(A57="","",Dashboard!$H$6)</x:f>
      </x:c>
      <x:c r="H57" s="62" t="str">
        <x:f>IF(A57="","",F57*G57)</x:f>
      </x:c>
      <x:c r="I57" s="49"/>
      <x:c r="J57" s="50"/>
      <x:c r="K57" s="2"/>
      <x:c r="L57" s="2"/>
      <x:c r="M57" s="2"/>
      <x:c r="N57" s="2"/>
      <x:c r="O57" s="2"/>
      <x:c r="P57" s="2"/>
      <x:c r="Q57" s="2"/>
      <x:c r="R57" s="2"/>
      <x:c r="S57" s="2"/>
      <x:c r="T57" s="2"/>
      <x:c r="U57" s="2"/>
      <x:c r="V57" s="2"/>
      <x:c r="W57" s="2"/>
      <x:c r="X57" s="2"/>
      <x:c r="Y57" s="2"/>
      <x:c r="Z57" s="2"/>
    </x:row>
    <x:row r="58">
      <x:c r="A58" s="49"/>
      <x:c r="B58" s="58"/>
      <x:c r="C58" s="7"/>
      <x:c r="D58" s="7"/>
      <x:c r="E58" s="63"/>
      <x:c r="F58" s="50"/>
      <x:c r="G58" s="62" t="str">
        <x:f>IF(A58="","",Dashboard!$H$6)</x:f>
      </x:c>
      <x:c r="H58" s="62" t="str">
        <x:f>IF(A58="","",F58*G58)</x:f>
      </x:c>
      <x:c r="I58" s="49"/>
      <x:c r="J58" s="50"/>
      <x:c r="K58" s="2"/>
      <x:c r="L58" s="2"/>
      <x:c r="M58" s="2"/>
      <x:c r="N58" s="2"/>
      <x:c r="O58" s="2"/>
      <x:c r="P58" s="2"/>
      <x:c r="Q58" s="2"/>
      <x:c r="R58" s="2"/>
      <x:c r="S58" s="2"/>
      <x:c r="T58" s="2"/>
      <x:c r="U58" s="2"/>
      <x:c r="V58" s="2"/>
      <x:c r="W58" s="2"/>
      <x:c r="X58" s="2"/>
      <x:c r="Y58" s="2"/>
      <x:c r="Z58" s="2"/>
    </x:row>
    <x:row r="59">
      <x:c r="A59" s="49"/>
      <x:c r="B59" s="58"/>
      <x:c r="C59" s="7"/>
      <x:c r="D59" s="7"/>
      <x:c r="E59" s="63"/>
      <x:c r="F59" s="50"/>
      <x:c r="G59" s="62" t="str">
        <x:f>IF(A59="","",Dashboard!$H$6)</x:f>
      </x:c>
      <x:c r="H59" s="62" t="str">
        <x:f>IF(A59="","",F59*G59)</x:f>
      </x:c>
      <x:c r="I59" s="49"/>
      <x:c r="J59" s="50"/>
      <x:c r="K59" s="2"/>
      <x:c r="L59" s="2"/>
      <x:c r="M59" s="2"/>
      <x:c r="N59" s="2"/>
      <x:c r="O59" s="2"/>
      <x:c r="P59" s="2"/>
      <x:c r="Q59" s="2"/>
      <x:c r="R59" s="2"/>
      <x:c r="S59" s="2"/>
      <x:c r="T59" s="2"/>
      <x:c r="U59" s="2"/>
      <x:c r="V59" s="2"/>
      <x:c r="W59" s="2"/>
      <x:c r="X59" s="2"/>
      <x:c r="Y59" s="2"/>
      <x:c r="Z59" s="2"/>
    </x:row>
    <x:row r="60">
      <x:c r="A60" s="49"/>
      <x:c r="B60" s="58"/>
      <x:c r="C60" s="7"/>
      <x:c r="D60" s="7"/>
      <x:c r="E60" s="63"/>
      <x:c r="F60" s="50"/>
      <x:c r="G60" s="62" t="str">
        <x:f>IF(A60="","",Dashboard!$H$6)</x:f>
      </x:c>
      <x:c r="H60" s="62" t="str">
        <x:f>IF(A60="","",F60*G60)</x:f>
      </x:c>
      <x:c r="I60" s="49"/>
      <x:c r="J60" s="50"/>
      <x:c r="K60" s="2"/>
      <x:c r="L60" s="2"/>
      <x:c r="M60" s="2"/>
      <x:c r="N60" s="2"/>
      <x:c r="O60" s="2"/>
      <x:c r="P60" s="2"/>
      <x:c r="Q60" s="2"/>
      <x:c r="R60" s="2"/>
      <x:c r="S60" s="2"/>
      <x:c r="T60" s="2"/>
      <x:c r="U60" s="2"/>
      <x:c r="V60" s="2"/>
      <x:c r="W60" s="2"/>
      <x:c r="X60" s="2"/>
      <x:c r="Y60" s="2"/>
      <x:c r="Z60" s="2"/>
    </x:row>
    <x:row r="61">
      <x:c r="A61" s="49"/>
      <x:c r="B61" s="58"/>
      <x:c r="C61" s="7"/>
      <x:c r="D61" s="7"/>
      <x:c r="E61" s="63"/>
      <x:c r="F61" s="50"/>
      <x:c r="G61" s="62" t="str">
        <x:f>IF(A61="","",Dashboard!$H$6)</x:f>
      </x:c>
      <x:c r="H61" s="62" t="str">
        <x:f>IF(A61="","",F61*G61)</x:f>
      </x:c>
      <x:c r="I61" s="49"/>
      <x:c r="J61" s="50"/>
      <x:c r="K61" s="2"/>
      <x:c r="L61" s="2"/>
      <x:c r="M61" s="2"/>
      <x:c r="N61" s="2"/>
      <x:c r="O61" s="2"/>
      <x:c r="P61" s="2"/>
      <x:c r="Q61" s="2"/>
      <x:c r="R61" s="2"/>
      <x:c r="S61" s="2"/>
      <x:c r="T61" s="2"/>
      <x:c r="U61" s="2"/>
      <x:c r="V61" s="2"/>
      <x:c r="W61" s="2"/>
      <x:c r="X61" s="2"/>
      <x:c r="Y61" s="2"/>
      <x:c r="Z61" s="2"/>
    </x:row>
    <x:row r="62">
      <x:c r="A62" s="49"/>
      <x:c r="B62" s="58"/>
      <x:c r="C62" s="7"/>
      <x:c r="D62" s="7"/>
      <x:c r="E62" s="63"/>
      <x:c r="F62" s="50"/>
      <x:c r="G62" s="62" t="str">
        <x:f>IF(A62="","",Dashboard!$H$6)</x:f>
      </x:c>
      <x:c r="H62" s="62" t="str">
        <x:f>IF(A62="","",F62*G62)</x:f>
      </x:c>
      <x:c r="I62" s="49"/>
      <x:c r="J62" s="50"/>
      <x:c r="K62" s="2"/>
      <x:c r="L62" s="2"/>
      <x:c r="M62" s="2"/>
      <x:c r="N62" s="2"/>
      <x:c r="O62" s="2"/>
      <x:c r="P62" s="2"/>
      <x:c r="Q62" s="2"/>
      <x:c r="R62" s="2"/>
      <x:c r="S62" s="2"/>
      <x:c r="T62" s="2"/>
      <x:c r="U62" s="2"/>
      <x:c r="V62" s="2"/>
      <x:c r="W62" s="2"/>
      <x:c r="X62" s="2"/>
      <x:c r="Y62" s="2"/>
      <x:c r="Z62" s="2"/>
    </x:row>
    <x:row r="63">
      <x:c r="A63" s="49"/>
      <x:c r="B63" s="58"/>
      <x:c r="C63" s="7"/>
      <x:c r="D63" s="7"/>
      <x:c r="E63" s="63"/>
      <x:c r="F63" s="50"/>
      <x:c r="G63" s="62" t="str">
        <x:f>IF(A63="","",Dashboard!$H$6)</x:f>
      </x:c>
      <x:c r="H63" s="62" t="str">
        <x:f>IF(A63="","",F63*G63)</x:f>
      </x:c>
      <x:c r="I63" s="49"/>
      <x:c r="J63" s="50"/>
      <x:c r="K63" s="2"/>
      <x:c r="L63" s="2"/>
      <x:c r="M63" s="2"/>
      <x:c r="N63" s="2"/>
      <x:c r="O63" s="2"/>
      <x:c r="P63" s="2"/>
      <x:c r="Q63" s="2"/>
      <x:c r="R63" s="2"/>
      <x:c r="S63" s="2"/>
      <x:c r="T63" s="2"/>
      <x:c r="U63" s="2"/>
      <x:c r="V63" s="2"/>
      <x:c r="W63" s="2"/>
      <x:c r="X63" s="2"/>
      <x:c r="Y63" s="2"/>
      <x:c r="Z63" s="2"/>
    </x:row>
    <x:row r="64">
      <x:c r="A64" s="49"/>
      <x:c r="B64" s="58"/>
      <x:c r="C64" s="7"/>
      <x:c r="D64" s="7"/>
      <x:c r="E64" s="63"/>
      <x:c r="F64" s="50"/>
      <x:c r="G64" s="62" t="str">
        <x:f>IF(A64="","",Dashboard!$H$6)</x:f>
      </x:c>
      <x:c r="H64" s="62" t="str">
        <x:f>IF(A64="","",F64*G64)</x:f>
      </x:c>
      <x:c r="I64" s="49"/>
      <x:c r="J64" s="50"/>
      <x:c r="K64" s="2"/>
      <x:c r="L64" s="2"/>
      <x:c r="M64" s="2"/>
      <x:c r="N64" s="2"/>
      <x:c r="O64" s="2"/>
      <x:c r="P64" s="2"/>
      <x:c r="Q64" s="2"/>
      <x:c r="R64" s="2"/>
      <x:c r="S64" s="2"/>
      <x:c r="T64" s="2"/>
      <x:c r="U64" s="2"/>
      <x:c r="V64" s="2"/>
      <x:c r="W64" s="2"/>
      <x:c r="X64" s="2"/>
      <x:c r="Y64" s="2"/>
      <x:c r="Z64" s="2"/>
    </x:row>
    <x:row r="65">
      <x:c r="A65" s="49"/>
      <x:c r="B65" s="58"/>
      <x:c r="C65" s="7"/>
      <x:c r="D65" s="7"/>
      <x:c r="E65" s="63"/>
      <x:c r="F65" s="50"/>
      <x:c r="G65" s="62" t="str">
        <x:f>IF(A65="","",Dashboard!$H$6)</x:f>
      </x:c>
      <x:c r="H65" s="62" t="str">
        <x:f>IF(A65="","",F65*G65)</x:f>
      </x:c>
      <x:c r="I65" s="49"/>
      <x:c r="J65" s="50"/>
      <x:c r="K65" s="2"/>
      <x:c r="L65" s="2"/>
      <x:c r="M65" s="2"/>
      <x:c r="N65" s="2"/>
      <x:c r="O65" s="2"/>
      <x:c r="P65" s="2"/>
      <x:c r="Q65" s="2"/>
      <x:c r="R65" s="2"/>
      <x:c r="S65" s="2"/>
      <x:c r="T65" s="2"/>
      <x:c r="U65" s="2"/>
      <x:c r="V65" s="2"/>
      <x:c r="W65" s="2"/>
      <x:c r="X65" s="2"/>
      <x:c r="Y65" s="2"/>
      <x:c r="Z65" s="2"/>
    </x:row>
    <x:row r="66">
      <x:c r="A66" s="49"/>
      <x:c r="B66" s="58"/>
      <x:c r="C66" s="7"/>
      <x:c r="D66" s="7"/>
      <x:c r="E66" s="63"/>
      <x:c r="F66" s="50"/>
      <x:c r="G66" s="62" t="str">
        <x:f>IF(A66="","",Dashboard!$H$6)</x:f>
      </x:c>
      <x:c r="H66" s="62" t="str">
        <x:f>IF(A66="","",F66*G66)</x:f>
      </x:c>
      <x:c r="I66" s="49"/>
      <x:c r="J66" s="50"/>
      <x:c r="K66" s="2"/>
      <x:c r="L66" s="2"/>
      <x:c r="M66" s="2"/>
      <x:c r="N66" s="2"/>
      <x:c r="O66" s="2"/>
      <x:c r="P66" s="2"/>
      <x:c r="Q66" s="2"/>
      <x:c r="R66" s="2"/>
      <x:c r="S66" s="2"/>
      <x:c r="T66" s="2"/>
      <x:c r="U66" s="2"/>
      <x:c r="V66" s="2"/>
      <x:c r="W66" s="2"/>
      <x:c r="X66" s="2"/>
      <x:c r="Y66" s="2"/>
      <x:c r="Z66" s="2"/>
    </x:row>
    <x:row r="67">
      <x:c r="A67" s="49"/>
      <x:c r="B67" s="58"/>
      <x:c r="C67" s="7"/>
      <x:c r="D67" s="7"/>
      <x:c r="E67" s="63"/>
      <x:c r="F67" s="50"/>
      <x:c r="G67" s="62" t="str">
        <x:f>IF(A67="","",Dashboard!$H$6)</x:f>
      </x:c>
      <x:c r="H67" s="62" t="str">
        <x:f>IF(A67="","",F67*G67)</x:f>
      </x:c>
      <x:c r="I67" s="49"/>
      <x:c r="J67" s="50"/>
      <x:c r="K67" s="2"/>
      <x:c r="L67" s="2"/>
      <x:c r="M67" s="2"/>
      <x:c r="N67" s="2"/>
      <x:c r="O67" s="2"/>
      <x:c r="P67" s="2"/>
      <x:c r="Q67" s="2"/>
      <x:c r="R67" s="2"/>
      <x:c r="S67" s="2"/>
      <x:c r="T67" s="2"/>
      <x:c r="U67" s="2"/>
      <x:c r="V67" s="2"/>
      <x:c r="W67" s="2"/>
      <x:c r="X67" s="2"/>
      <x:c r="Y67" s="2"/>
      <x:c r="Z67" s="2"/>
    </x:row>
    <x:row r="68">
      <x:c r="A68" s="49"/>
      <x:c r="B68" s="58"/>
      <x:c r="C68" s="7"/>
      <x:c r="D68" s="7"/>
      <x:c r="E68" s="63"/>
      <x:c r="F68" s="50"/>
      <x:c r="G68" s="62" t="str">
        <x:f>IF(A68="","",Dashboard!$H$6)</x:f>
      </x:c>
      <x:c r="H68" s="62" t="str">
        <x:f>IF(A68="","",F68*G68)</x:f>
      </x:c>
      <x:c r="I68" s="49"/>
      <x:c r="J68" s="50"/>
      <x:c r="K68" s="2"/>
      <x:c r="L68" s="2"/>
      <x:c r="M68" s="2"/>
      <x:c r="N68" s="2"/>
      <x:c r="O68" s="2"/>
      <x:c r="P68" s="2"/>
      <x:c r="Q68" s="2"/>
      <x:c r="R68" s="2"/>
      <x:c r="S68" s="2"/>
      <x:c r="T68" s="2"/>
      <x:c r="U68" s="2"/>
      <x:c r="V68" s="2"/>
      <x:c r="W68" s="2"/>
      <x:c r="X68" s="2"/>
      <x:c r="Y68" s="2"/>
      <x:c r="Z68" s="2"/>
    </x:row>
    <x:row r="69">
      <x:c r="A69" s="49"/>
      <x:c r="B69" s="58"/>
      <x:c r="C69" s="7"/>
      <x:c r="D69" s="7"/>
      <x:c r="E69" s="63"/>
      <x:c r="F69" s="50"/>
      <x:c r="G69" s="62" t="str">
        <x:f>IF(A69="","",Dashboard!$H$6)</x:f>
      </x:c>
      <x:c r="H69" s="62" t="str">
        <x:f>IF(A69="","",F69*G69)</x:f>
      </x:c>
      <x:c r="I69" s="49"/>
      <x:c r="J69" s="50"/>
      <x:c r="K69" s="2"/>
      <x:c r="L69" s="2"/>
      <x:c r="M69" s="2"/>
      <x:c r="N69" s="2"/>
      <x:c r="O69" s="2"/>
      <x:c r="P69" s="2"/>
      <x:c r="Q69" s="2"/>
      <x:c r="R69" s="2"/>
      <x:c r="S69" s="2"/>
      <x:c r="T69" s="2"/>
      <x:c r="U69" s="2"/>
      <x:c r="V69" s="2"/>
      <x:c r="W69" s="2"/>
      <x:c r="X69" s="2"/>
      <x:c r="Y69" s="2"/>
      <x:c r="Z69" s="2"/>
    </x:row>
    <x:row r="70">
      <x:c r="A70" s="49"/>
      <x:c r="B70" s="58"/>
      <x:c r="C70" s="7"/>
      <x:c r="D70" s="7"/>
      <x:c r="E70" s="63"/>
      <x:c r="F70" s="50"/>
      <x:c r="G70" s="62" t="str">
        <x:f>IF(A70="","",Dashboard!$H$6)</x:f>
      </x:c>
      <x:c r="H70" s="62" t="str">
        <x:f>IF(A70="","",F70*G70)</x:f>
      </x:c>
      <x:c r="I70" s="49"/>
      <x:c r="J70" s="50"/>
      <x:c r="K70" s="2"/>
      <x:c r="L70" s="2"/>
      <x:c r="M70" s="2"/>
      <x:c r="N70" s="2"/>
      <x:c r="O70" s="2"/>
      <x:c r="P70" s="2"/>
      <x:c r="Q70" s="2"/>
      <x:c r="R70" s="2"/>
      <x:c r="S70" s="2"/>
      <x:c r="T70" s="2"/>
      <x:c r="U70" s="2"/>
      <x:c r="V70" s="2"/>
      <x:c r="W70" s="2"/>
      <x:c r="X70" s="2"/>
      <x:c r="Y70" s="2"/>
      <x:c r="Z70" s="2"/>
    </x:row>
    <x:row r="71">
      <x:c r="A71" s="49"/>
      <x:c r="B71" s="58"/>
      <x:c r="C71" s="7"/>
      <x:c r="D71" s="7"/>
      <x:c r="E71" s="63"/>
      <x:c r="F71" s="50"/>
      <x:c r="G71" s="62" t="str">
        <x:f>IF(A71="","",Dashboard!$H$6)</x:f>
      </x:c>
      <x:c r="H71" s="62" t="str">
        <x:f>IF(A71="","",F71*G71)</x:f>
      </x:c>
      <x:c r="I71" s="49"/>
      <x:c r="J71" s="50"/>
      <x:c r="K71" s="2"/>
      <x:c r="L71" s="2"/>
      <x:c r="M71" s="2"/>
      <x:c r="N71" s="2"/>
      <x:c r="O71" s="2"/>
      <x:c r="P71" s="2"/>
      <x:c r="Q71" s="2"/>
      <x:c r="R71" s="2"/>
      <x:c r="S71" s="2"/>
      <x:c r="T71" s="2"/>
      <x:c r="U71" s="2"/>
      <x:c r="V71" s="2"/>
      <x:c r="W71" s="2"/>
      <x:c r="X71" s="2"/>
      <x:c r="Y71" s="2"/>
      <x:c r="Z71" s="2"/>
    </x:row>
    <x:row r="72">
      <x:c r="A72" s="49"/>
      <x:c r="B72" s="58"/>
      <x:c r="C72" s="7"/>
      <x:c r="D72" s="7"/>
      <x:c r="E72" s="63"/>
      <x:c r="F72" s="50"/>
      <x:c r="G72" s="62" t="str">
        <x:f>IF(A72="","",Dashboard!$H$6)</x:f>
      </x:c>
      <x:c r="H72" s="62" t="str">
        <x:f>IF(A72="","",F72*G72)</x:f>
      </x:c>
      <x:c r="I72" s="49"/>
      <x:c r="J72" s="50"/>
      <x:c r="K72" s="2"/>
      <x:c r="L72" s="2"/>
      <x:c r="M72" s="2"/>
      <x:c r="N72" s="2"/>
      <x:c r="O72" s="2"/>
      <x:c r="P72" s="2"/>
      <x:c r="Q72" s="2"/>
      <x:c r="R72" s="2"/>
      <x:c r="S72" s="2"/>
      <x:c r="T72" s="2"/>
      <x:c r="U72" s="2"/>
      <x:c r="V72" s="2"/>
      <x:c r="W72" s="2"/>
      <x:c r="X72" s="2"/>
      <x:c r="Y72" s="2"/>
      <x:c r="Z72" s="2"/>
    </x:row>
    <x:row r="73">
      <x:c r="A73" s="49"/>
      <x:c r="B73" s="58"/>
      <x:c r="C73" s="7"/>
      <x:c r="D73" s="7"/>
      <x:c r="E73" s="63"/>
      <x:c r="F73" s="50"/>
      <x:c r="G73" s="62" t="str">
        <x:f>IF(A73="","",Dashboard!$H$6)</x:f>
      </x:c>
      <x:c r="H73" s="62" t="str">
        <x:f>IF(A73="","",F73*G73)</x:f>
      </x:c>
      <x:c r="I73" s="49"/>
      <x:c r="J73" s="50"/>
      <x:c r="K73" s="2"/>
      <x:c r="L73" s="2"/>
      <x:c r="M73" s="2"/>
      <x:c r="N73" s="2"/>
      <x:c r="O73" s="2"/>
      <x:c r="P73" s="2"/>
      <x:c r="Q73" s="2"/>
      <x:c r="R73" s="2"/>
      <x:c r="S73" s="2"/>
      <x:c r="T73" s="2"/>
      <x:c r="U73" s="2"/>
      <x:c r="V73" s="2"/>
      <x:c r="W73" s="2"/>
      <x:c r="X73" s="2"/>
      <x:c r="Y73" s="2"/>
      <x:c r="Z73" s="2"/>
    </x:row>
    <x:row r="74">
      <x:c r="A74" s="49"/>
      <x:c r="B74" s="58"/>
      <x:c r="C74" s="7"/>
      <x:c r="D74" s="7"/>
      <x:c r="E74" s="63"/>
      <x:c r="F74" s="50"/>
      <x:c r="G74" s="62" t="str">
        <x:f>IF(A74="","",Dashboard!$H$6)</x:f>
      </x:c>
      <x:c r="H74" s="62" t="str">
        <x:f>IF(A74="","",F74*G74)</x:f>
      </x:c>
      <x:c r="I74" s="49"/>
      <x:c r="J74" s="50"/>
      <x:c r="K74" s="2"/>
      <x:c r="L74" s="2"/>
      <x:c r="M74" s="2"/>
      <x:c r="N74" s="2"/>
      <x:c r="O74" s="2"/>
      <x:c r="P74" s="2"/>
      <x:c r="Q74" s="2"/>
      <x:c r="R74" s="2"/>
      <x:c r="S74" s="2"/>
      <x:c r="T74" s="2"/>
      <x:c r="U74" s="2"/>
      <x:c r="V74" s="2"/>
      <x:c r="W74" s="2"/>
      <x:c r="X74" s="2"/>
      <x:c r="Y74" s="2"/>
      <x:c r="Z74" s="2"/>
    </x:row>
    <x:row r="75">
      <x:c r="A75" s="49"/>
      <x:c r="B75" s="58"/>
      <x:c r="C75" s="7"/>
      <x:c r="D75" s="7"/>
      <x:c r="E75" s="63"/>
      <x:c r="F75" s="50"/>
      <x:c r="G75" s="62" t="str">
        <x:f>IF(A75="","",Dashboard!$H$6)</x:f>
      </x:c>
      <x:c r="H75" s="62" t="str">
        <x:f>IF(A75="","",F75*G75)</x:f>
      </x:c>
      <x:c r="I75" s="49"/>
      <x:c r="J75" s="50"/>
      <x:c r="K75" s="2"/>
      <x:c r="L75" s="2"/>
      <x:c r="M75" s="2"/>
      <x:c r="N75" s="2"/>
      <x:c r="O75" s="2"/>
      <x:c r="P75" s="2"/>
      <x:c r="Q75" s="2"/>
      <x:c r="R75" s="2"/>
      <x:c r="S75" s="2"/>
      <x:c r="T75" s="2"/>
      <x:c r="U75" s="2"/>
      <x:c r="V75" s="2"/>
      <x:c r="W75" s="2"/>
      <x:c r="X75" s="2"/>
      <x:c r="Y75" s="2"/>
      <x:c r="Z75" s="2"/>
    </x:row>
    <x:row r="76">
      <x:c r="A76" s="49"/>
      <x:c r="B76" s="58"/>
      <x:c r="C76" s="7"/>
      <x:c r="D76" s="7"/>
      <x:c r="E76" s="63"/>
      <x:c r="F76" s="50"/>
      <x:c r="G76" s="62" t="str">
        <x:f>IF(A76="","",Dashboard!$H$6)</x:f>
      </x:c>
      <x:c r="H76" s="62" t="str">
        <x:f>IF(A76="","",F76*G76)</x:f>
      </x:c>
      <x:c r="I76" s="49"/>
      <x:c r="J76" s="50"/>
      <x:c r="K76" s="2"/>
      <x:c r="L76" s="2"/>
      <x:c r="M76" s="2"/>
      <x:c r="N76" s="2"/>
      <x:c r="O76" s="2"/>
      <x:c r="P76" s="2"/>
      <x:c r="Q76" s="2"/>
      <x:c r="R76" s="2"/>
      <x:c r="S76" s="2"/>
      <x:c r="T76" s="2"/>
      <x:c r="U76" s="2"/>
      <x:c r="V76" s="2"/>
      <x:c r="W76" s="2"/>
      <x:c r="X76" s="2"/>
      <x:c r="Y76" s="2"/>
      <x:c r="Z76" s="2"/>
    </x:row>
    <x:row r="77">
      <x:c r="A77" s="49"/>
      <x:c r="B77" s="58"/>
      <x:c r="C77" s="7"/>
      <x:c r="D77" s="7"/>
      <x:c r="E77" s="63"/>
      <x:c r="F77" s="50"/>
      <x:c r="G77" s="62" t="str">
        <x:f>IF(A77="","",Dashboard!$H$6)</x:f>
      </x:c>
      <x:c r="H77" s="62" t="str">
        <x:f>IF(A77="","",F77*G77)</x:f>
      </x:c>
      <x:c r="I77" s="49"/>
      <x:c r="J77" s="50"/>
      <x:c r="K77" s="2"/>
      <x:c r="L77" s="2"/>
      <x:c r="M77" s="2"/>
      <x:c r="N77" s="2"/>
      <x:c r="O77" s="2"/>
      <x:c r="P77" s="2"/>
      <x:c r="Q77" s="2"/>
      <x:c r="R77" s="2"/>
      <x:c r="S77" s="2"/>
      <x:c r="T77" s="2"/>
      <x:c r="U77" s="2"/>
      <x:c r="V77" s="2"/>
      <x:c r="W77" s="2"/>
      <x:c r="X77" s="2"/>
      <x:c r="Y77" s="2"/>
      <x:c r="Z77" s="2"/>
    </x:row>
    <x:row r="78">
      <x:c r="A78" s="49"/>
      <x:c r="B78" s="58"/>
      <x:c r="C78" s="7"/>
      <x:c r="D78" s="7"/>
      <x:c r="E78" s="63"/>
      <x:c r="F78" s="50"/>
      <x:c r="G78" s="62" t="str">
        <x:f>IF(A78="","",Dashboard!$H$6)</x:f>
      </x:c>
      <x:c r="H78" s="62" t="str">
        <x:f>IF(A78="","",F78*G78)</x:f>
      </x:c>
      <x:c r="I78" s="49"/>
      <x:c r="J78" s="50"/>
      <x:c r="K78" s="2"/>
      <x:c r="L78" s="2"/>
      <x:c r="M78" s="2"/>
      <x:c r="N78" s="2"/>
      <x:c r="O78" s="2"/>
      <x:c r="P78" s="2"/>
      <x:c r="Q78" s="2"/>
      <x:c r="R78" s="2"/>
      <x:c r="S78" s="2"/>
      <x:c r="T78" s="2"/>
      <x:c r="U78" s="2"/>
      <x:c r="V78" s="2"/>
      <x:c r="W78" s="2"/>
      <x:c r="X78" s="2"/>
      <x:c r="Y78" s="2"/>
      <x:c r="Z78" s="2"/>
    </x:row>
    <x:row r="79">
      <x:c r="A79" s="49"/>
      <x:c r="B79" s="58"/>
      <x:c r="C79" s="7"/>
      <x:c r="D79" s="7"/>
      <x:c r="E79" s="63"/>
      <x:c r="F79" s="50"/>
      <x:c r="G79" s="62" t="str">
        <x:f>IF(A79="","",Dashboard!$H$6)</x:f>
      </x:c>
      <x:c r="H79" s="62" t="str">
        <x:f>IF(A79="","",F79*G79)</x:f>
      </x:c>
      <x:c r="I79" s="49"/>
      <x:c r="J79" s="50"/>
      <x:c r="K79" s="2"/>
      <x:c r="L79" s="2"/>
      <x:c r="M79" s="2"/>
      <x:c r="N79" s="2"/>
      <x:c r="O79" s="2"/>
      <x:c r="P79" s="2"/>
      <x:c r="Q79" s="2"/>
      <x:c r="R79" s="2"/>
      <x:c r="S79" s="2"/>
      <x:c r="T79" s="2"/>
      <x:c r="U79" s="2"/>
      <x:c r="V79" s="2"/>
      <x:c r="W79" s="2"/>
      <x:c r="X79" s="2"/>
      <x:c r="Y79" s="2"/>
      <x:c r="Z79" s="2"/>
    </x:row>
    <x:row r="80">
      <x:c r="A80" s="49"/>
      <x:c r="B80" s="58"/>
      <x:c r="C80" s="7"/>
      <x:c r="D80" s="7"/>
      <x:c r="E80" s="63"/>
      <x:c r="F80" s="50"/>
      <x:c r="G80" s="62" t="str">
        <x:f>IF(A80="","",Dashboard!$H$6)</x:f>
      </x:c>
      <x:c r="H80" s="62" t="str">
        <x:f>IF(A80="","",F80*G80)</x:f>
      </x:c>
      <x:c r="I80" s="49"/>
      <x:c r="J80" s="50"/>
      <x:c r="K80" s="2"/>
      <x:c r="L80" s="2"/>
      <x:c r="M80" s="2"/>
      <x:c r="N80" s="2"/>
      <x:c r="O80" s="2"/>
      <x:c r="P80" s="2"/>
      <x:c r="Q80" s="2"/>
      <x:c r="R80" s="2"/>
      <x:c r="S80" s="2"/>
      <x:c r="T80" s="2"/>
      <x:c r="U80" s="2"/>
      <x:c r="V80" s="2"/>
      <x:c r="W80" s="2"/>
      <x:c r="X80" s="2"/>
      <x:c r="Y80" s="2"/>
      <x:c r="Z80" s="2"/>
    </x:row>
    <x:row r="81">
      <x:c r="A81" s="49"/>
      <x:c r="B81" s="58"/>
      <x:c r="C81" s="7"/>
      <x:c r="D81" s="7"/>
      <x:c r="E81" s="63"/>
      <x:c r="F81" s="50"/>
      <x:c r="G81" s="62" t="str">
        <x:f>IF(A81="","",Dashboard!$H$6)</x:f>
      </x:c>
      <x:c r="H81" s="62" t="str">
        <x:f>IF(A81="","",F81*G81)</x:f>
      </x:c>
      <x:c r="I81" s="49"/>
      <x:c r="J81" s="50"/>
      <x:c r="K81" s="2"/>
      <x:c r="L81" s="2"/>
      <x:c r="M81" s="2"/>
      <x:c r="N81" s="2"/>
      <x:c r="O81" s="2"/>
      <x:c r="P81" s="2"/>
      <x:c r="Q81" s="2"/>
      <x:c r="R81" s="2"/>
      <x:c r="S81" s="2"/>
      <x:c r="T81" s="2"/>
      <x:c r="U81" s="2"/>
      <x:c r="V81" s="2"/>
      <x:c r="W81" s="2"/>
      <x:c r="X81" s="2"/>
      <x:c r="Y81" s="2"/>
      <x:c r="Z81" s="2"/>
    </x:row>
    <x:row r="82">
      <x:c r="A82" s="49"/>
      <x:c r="B82" s="58"/>
      <x:c r="C82" s="7"/>
      <x:c r="D82" s="7"/>
      <x:c r="E82" s="63"/>
      <x:c r="F82" s="50"/>
      <x:c r="G82" s="62" t="str">
        <x:f>IF(A82="","",Dashboard!$H$6)</x:f>
      </x:c>
      <x:c r="H82" s="62" t="str">
        <x:f>IF(A82="","",F82*G82)</x:f>
      </x:c>
      <x:c r="I82" s="49"/>
      <x:c r="J82" s="50"/>
      <x:c r="K82" s="2"/>
      <x:c r="L82" s="2"/>
      <x:c r="M82" s="2"/>
      <x:c r="N82" s="2"/>
      <x:c r="O82" s="2"/>
      <x:c r="P82" s="2"/>
      <x:c r="Q82" s="2"/>
      <x:c r="R82" s="2"/>
      <x:c r="S82" s="2"/>
      <x:c r="T82" s="2"/>
      <x:c r="U82" s="2"/>
      <x:c r="V82" s="2"/>
      <x:c r="W82" s="2"/>
      <x:c r="X82" s="2"/>
      <x:c r="Y82" s="2"/>
      <x:c r="Z82" s="2"/>
    </x:row>
    <x:row r="83">
      <x:c r="A83" s="49"/>
      <x:c r="B83" s="58"/>
      <x:c r="C83" s="7"/>
      <x:c r="D83" s="7"/>
      <x:c r="E83" s="63"/>
      <x:c r="F83" s="50"/>
      <x:c r="G83" s="62" t="str">
        <x:f>IF(A83="","",Dashboard!$H$6)</x:f>
      </x:c>
      <x:c r="H83" s="62" t="str">
        <x:f>IF(A83="","",F83*G83)</x:f>
      </x:c>
      <x:c r="I83" s="49"/>
      <x:c r="J83" s="50"/>
      <x:c r="K83" s="2"/>
      <x:c r="L83" s="2"/>
      <x:c r="M83" s="2"/>
      <x:c r="N83" s="2"/>
      <x:c r="O83" s="2"/>
      <x:c r="P83" s="2"/>
      <x:c r="Q83" s="2"/>
      <x:c r="R83" s="2"/>
      <x:c r="S83" s="2"/>
      <x:c r="T83" s="2"/>
      <x:c r="U83" s="2"/>
      <x:c r="V83" s="2"/>
      <x:c r="W83" s="2"/>
      <x:c r="X83" s="2"/>
      <x:c r="Y83" s="2"/>
      <x:c r="Z83" s="2"/>
    </x:row>
    <x:row r="84">
      <x:c r="A84" s="49"/>
      <x:c r="B84" s="58"/>
      <x:c r="C84" s="7"/>
      <x:c r="D84" s="7"/>
      <x:c r="E84" s="63"/>
      <x:c r="F84" s="50"/>
      <x:c r="G84" s="62" t="str">
        <x:f>IF(A84="","",Dashboard!$H$6)</x:f>
      </x:c>
      <x:c r="H84" s="62" t="str">
        <x:f>IF(A84="","",F84*G84)</x:f>
      </x:c>
      <x:c r="I84" s="49"/>
      <x:c r="J84" s="50"/>
      <x:c r="K84" s="2"/>
      <x:c r="L84" s="2"/>
      <x:c r="M84" s="2"/>
      <x:c r="N84" s="2"/>
      <x:c r="O84" s="2"/>
      <x:c r="P84" s="2"/>
      <x:c r="Q84" s="2"/>
      <x:c r="R84" s="2"/>
      <x:c r="S84" s="2"/>
      <x:c r="T84" s="2"/>
      <x:c r="U84" s="2"/>
      <x:c r="V84" s="2"/>
      <x:c r="W84" s="2"/>
      <x:c r="X84" s="2"/>
      <x:c r="Y84" s="2"/>
      <x:c r="Z84" s="2"/>
    </x:row>
    <x:row r="85">
      <x:c r="A85" s="49"/>
      <x:c r="B85" s="58"/>
      <x:c r="C85" s="7"/>
      <x:c r="D85" s="7"/>
      <x:c r="E85" s="63"/>
      <x:c r="F85" s="50"/>
      <x:c r="G85" s="62" t="str">
        <x:f>IF(A85="","",Dashboard!$H$6)</x:f>
      </x:c>
      <x:c r="H85" s="62" t="str">
        <x:f>IF(A85="","",F85*G85)</x:f>
      </x:c>
      <x:c r="I85" s="49"/>
      <x:c r="J85" s="50"/>
      <x:c r="K85" s="2"/>
      <x:c r="L85" s="2"/>
      <x:c r="M85" s="2"/>
      <x:c r="N85" s="2"/>
      <x:c r="O85" s="2"/>
      <x:c r="P85" s="2"/>
      <x:c r="Q85" s="2"/>
      <x:c r="R85" s="2"/>
      <x:c r="S85" s="2"/>
      <x:c r="T85" s="2"/>
      <x:c r="U85" s="2"/>
      <x:c r="V85" s="2"/>
      <x:c r="W85" s="2"/>
      <x:c r="X85" s="2"/>
      <x:c r="Y85" s="2"/>
      <x:c r="Z85" s="2"/>
    </x:row>
    <x:row r="86">
      <x:c r="A86" s="49"/>
      <x:c r="B86" s="58"/>
      <x:c r="C86" s="7"/>
      <x:c r="D86" s="7"/>
      <x:c r="E86" s="63"/>
      <x:c r="F86" s="50"/>
      <x:c r="G86" s="62" t="str">
        <x:f>IF(A86="","",Dashboard!$H$6)</x:f>
      </x:c>
      <x:c r="H86" s="62" t="str">
        <x:f>IF(A86="","",F86*G86)</x:f>
      </x:c>
      <x:c r="I86" s="49"/>
      <x:c r="J86" s="50"/>
      <x:c r="K86" s="2"/>
      <x:c r="L86" s="2"/>
      <x:c r="M86" s="2"/>
      <x:c r="N86" s="2"/>
      <x:c r="O86" s="2"/>
      <x:c r="P86" s="2"/>
      <x:c r="Q86" s="2"/>
      <x:c r="R86" s="2"/>
      <x:c r="S86" s="2"/>
      <x:c r="T86" s="2"/>
      <x:c r="U86" s="2"/>
      <x:c r="V86" s="2"/>
      <x:c r="W86" s="2"/>
      <x:c r="X86" s="2"/>
      <x:c r="Y86" s="2"/>
      <x:c r="Z86" s="2"/>
    </x:row>
    <x:row r="87">
      <x:c r="A87" s="49"/>
      <x:c r="B87" s="58"/>
      <x:c r="C87" s="7"/>
      <x:c r="D87" s="7"/>
      <x:c r="E87" s="63"/>
      <x:c r="F87" s="50"/>
      <x:c r="G87" s="62" t="str">
        <x:f>IF(A87="","",Dashboard!$H$6)</x:f>
      </x:c>
      <x:c r="H87" s="62" t="str">
        <x:f>IF(A87="","",F87*G87)</x:f>
      </x:c>
      <x:c r="I87" s="49"/>
      <x:c r="J87" s="50"/>
      <x:c r="K87" s="2"/>
      <x:c r="L87" s="2"/>
      <x:c r="M87" s="2"/>
      <x:c r="N87" s="2"/>
      <x:c r="O87" s="2"/>
      <x:c r="P87" s="2"/>
      <x:c r="Q87" s="2"/>
      <x:c r="R87" s="2"/>
      <x:c r="S87" s="2"/>
      <x:c r="T87" s="2"/>
      <x:c r="U87" s="2"/>
      <x:c r="V87" s="2"/>
      <x:c r="W87" s="2"/>
      <x:c r="X87" s="2"/>
      <x:c r="Y87" s="2"/>
      <x:c r="Z87" s="2"/>
    </x:row>
    <x:row r="88">
      <x:c r="A88" s="49"/>
      <x:c r="B88" s="58"/>
      <x:c r="C88" s="7"/>
      <x:c r="D88" s="7"/>
      <x:c r="E88" s="63"/>
      <x:c r="F88" s="50"/>
      <x:c r="G88" s="62" t="str">
        <x:f>IF(A88="","",Dashboard!$H$6)</x:f>
      </x:c>
      <x:c r="H88" s="62" t="str">
        <x:f>IF(A88="","",F88*G88)</x:f>
      </x:c>
      <x:c r="I88" s="49"/>
      <x:c r="J88" s="50"/>
      <x:c r="K88" s="2"/>
      <x:c r="L88" s="2"/>
      <x:c r="M88" s="2"/>
      <x:c r="N88" s="2"/>
      <x:c r="O88" s="2"/>
      <x:c r="P88" s="2"/>
      <x:c r="Q88" s="2"/>
      <x:c r="R88" s="2"/>
      <x:c r="S88" s="2"/>
      <x:c r="T88" s="2"/>
      <x:c r="U88" s="2"/>
      <x:c r="V88" s="2"/>
      <x:c r="W88" s="2"/>
      <x:c r="X88" s="2"/>
      <x:c r="Y88" s="2"/>
      <x:c r="Z88" s="2"/>
    </x:row>
    <x:row r="89">
      <x:c r="A89" s="49"/>
      <x:c r="B89" s="58"/>
      <x:c r="C89" s="7"/>
      <x:c r="D89" s="7"/>
      <x:c r="E89" s="63"/>
      <x:c r="F89" s="50"/>
      <x:c r="G89" s="62" t="str">
        <x:f>IF(A89="","",Dashboard!$H$6)</x:f>
      </x:c>
      <x:c r="H89" s="62" t="str">
        <x:f>IF(A89="","",F89*G89)</x:f>
      </x:c>
      <x:c r="I89" s="49"/>
      <x:c r="J89" s="50"/>
      <x:c r="K89" s="2"/>
      <x:c r="L89" s="2"/>
      <x:c r="M89" s="2"/>
      <x:c r="N89" s="2"/>
      <x:c r="O89" s="2"/>
      <x:c r="P89" s="2"/>
      <x:c r="Q89" s="2"/>
      <x:c r="R89" s="2"/>
      <x:c r="S89" s="2"/>
      <x:c r="T89" s="2"/>
      <x:c r="U89" s="2"/>
      <x:c r="V89" s="2"/>
      <x:c r="W89" s="2"/>
      <x:c r="X89" s="2"/>
      <x:c r="Y89" s="2"/>
      <x:c r="Z89" s="2"/>
    </x:row>
    <x:row r="90">
      <x:c r="A90" s="49"/>
      <x:c r="B90" s="58"/>
      <x:c r="C90" s="7"/>
      <x:c r="D90" s="7"/>
      <x:c r="E90" s="63"/>
      <x:c r="F90" s="50"/>
      <x:c r="G90" s="62" t="str">
        <x:f>IF(A90="","",Dashboard!$H$6)</x:f>
      </x:c>
      <x:c r="H90" s="62" t="str">
        <x:f>IF(A90="","",F90*G90)</x:f>
      </x:c>
      <x:c r="I90" s="49"/>
      <x:c r="J90" s="50"/>
      <x:c r="K90" s="2"/>
      <x:c r="L90" s="2"/>
      <x:c r="M90" s="2"/>
      <x:c r="N90" s="2"/>
      <x:c r="O90" s="2"/>
      <x:c r="P90" s="2"/>
      <x:c r="Q90" s="2"/>
      <x:c r="R90" s="2"/>
      <x:c r="S90" s="2"/>
      <x:c r="T90" s="2"/>
      <x:c r="U90" s="2"/>
      <x:c r="V90" s="2"/>
      <x:c r="W90" s="2"/>
      <x:c r="X90" s="2"/>
      <x:c r="Y90" s="2"/>
      <x:c r="Z90" s="2"/>
    </x:row>
    <x:row r="91">
      <x:c r="A91" s="49"/>
      <x:c r="B91" s="58"/>
      <x:c r="C91" s="7"/>
      <x:c r="D91" s="7"/>
      <x:c r="E91" s="63"/>
      <x:c r="F91" s="50"/>
      <x:c r="G91" s="62" t="str">
        <x:f>IF(A91="","",Dashboard!$H$6)</x:f>
      </x:c>
      <x:c r="H91" s="62" t="str">
        <x:f>IF(A91="","",F91*G91)</x:f>
      </x:c>
      <x:c r="I91" s="49"/>
      <x:c r="J91" s="50"/>
      <x:c r="K91" s="2"/>
      <x:c r="L91" s="2"/>
      <x:c r="M91" s="2"/>
      <x:c r="N91" s="2"/>
      <x:c r="O91" s="2"/>
      <x:c r="P91" s="2"/>
      <x:c r="Q91" s="2"/>
      <x:c r="R91" s="2"/>
      <x:c r="S91" s="2"/>
      <x:c r="T91" s="2"/>
      <x:c r="U91" s="2"/>
      <x:c r="V91" s="2"/>
      <x:c r="W91" s="2"/>
      <x:c r="X91" s="2"/>
      <x:c r="Y91" s="2"/>
      <x:c r="Z91" s="2"/>
    </x:row>
    <x:row r="92">
      <x:c r="A92" s="49"/>
      <x:c r="B92" s="58"/>
      <x:c r="C92" s="7"/>
      <x:c r="D92" s="7"/>
      <x:c r="E92" s="63"/>
      <x:c r="F92" s="50"/>
      <x:c r="G92" s="62" t="str">
        <x:f>IF(A92="","",Dashboard!$H$6)</x:f>
      </x:c>
      <x:c r="H92" s="62" t="str">
        <x:f>IF(A92="","",F92*G92)</x:f>
      </x:c>
      <x:c r="I92" s="49"/>
      <x:c r="J92" s="50"/>
      <x:c r="K92" s="2"/>
      <x:c r="L92" s="2"/>
      <x:c r="M92" s="2"/>
      <x:c r="N92" s="2"/>
      <x:c r="O92" s="2"/>
      <x:c r="P92" s="2"/>
      <x:c r="Q92" s="2"/>
      <x:c r="R92" s="2"/>
      <x:c r="S92" s="2"/>
      <x:c r="T92" s="2"/>
      <x:c r="U92" s="2"/>
      <x:c r="V92" s="2"/>
      <x:c r="W92" s="2"/>
      <x:c r="X92" s="2"/>
      <x:c r="Y92" s="2"/>
      <x:c r="Z92" s="2"/>
    </x:row>
    <x:row r="93">
      <x:c r="A93" s="49"/>
      <x:c r="B93" s="58"/>
      <x:c r="C93" s="7"/>
      <x:c r="D93" s="7"/>
      <x:c r="E93" s="63"/>
      <x:c r="F93" s="50"/>
      <x:c r="G93" s="62" t="str">
        <x:f>IF(A93="","",Dashboard!$H$6)</x:f>
      </x:c>
      <x:c r="H93" s="62" t="str">
        <x:f>IF(A93="","",F93*G93)</x:f>
      </x:c>
      <x:c r="I93" s="49"/>
      <x:c r="J93" s="50"/>
      <x:c r="K93" s="2"/>
      <x:c r="L93" s="2"/>
      <x:c r="M93" s="2"/>
      <x:c r="N93" s="2"/>
      <x:c r="O93" s="2"/>
      <x:c r="P93" s="2"/>
      <x:c r="Q93" s="2"/>
      <x:c r="R93" s="2"/>
      <x:c r="S93" s="2"/>
      <x:c r="T93" s="2"/>
      <x:c r="U93" s="2"/>
      <x:c r="V93" s="2"/>
      <x:c r="W93" s="2"/>
      <x:c r="X93" s="2"/>
      <x:c r="Y93" s="2"/>
      <x:c r="Z93" s="2"/>
    </x:row>
    <x:row r="94">
      <x:c r="A94" s="49"/>
      <x:c r="B94" s="58"/>
      <x:c r="C94" s="7"/>
      <x:c r="D94" s="7"/>
      <x:c r="E94" s="63"/>
      <x:c r="F94" s="50"/>
      <x:c r="G94" s="62" t="str">
        <x:f>IF(A94="","",Dashboard!$H$6)</x:f>
      </x:c>
      <x:c r="H94" s="62" t="str">
        <x:f>IF(A94="","",F94*G94)</x:f>
      </x:c>
      <x:c r="I94" s="49"/>
      <x:c r="J94" s="50"/>
      <x:c r="K94" s="2"/>
      <x:c r="L94" s="2"/>
      <x:c r="M94" s="2"/>
      <x:c r="N94" s="2"/>
      <x:c r="O94" s="2"/>
      <x:c r="P94" s="2"/>
      <x:c r="Q94" s="2"/>
      <x:c r="R94" s="2"/>
      <x:c r="S94" s="2"/>
      <x:c r="T94" s="2"/>
      <x:c r="U94" s="2"/>
      <x:c r="V94" s="2"/>
      <x:c r="W94" s="2"/>
      <x:c r="X94" s="2"/>
      <x:c r="Y94" s="2"/>
      <x:c r="Z94" s="2"/>
    </x:row>
    <x:row r="95">
      <x:c r="A95" s="49"/>
      <x:c r="B95" s="58"/>
      <x:c r="C95" s="7"/>
      <x:c r="D95" s="7"/>
      <x:c r="E95" s="63"/>
      <x:c r="F95" s="50"/>
      <x:c r="G95" s="62" t="str">
        <x:f>IF(A95="","",Dashboard!$H$6)</x:f>
      </x:c>
      <x:c r="H95" s="62" t="str">
        <x:f>IF(A95="","",F95*G95)</x:f>
      </x:c>
      <x:c r="I95" s="49"/>
      <x:c r="J95" s="50"/>
      <x:c r="K95" s="2"/>
      <x:c r="L95" s="2"/>
      <x:c r="M95" s="2"/>
      <x:c r="N95" s="2"/>
      <x:c r="O95" s="2"/>
      <x:c r="P95" s="2"/>
      <x:c r="Q95" s="2"/>
      <x:c r="R95" s="2"/>
      <x:c r="S95" s="2"/>
      <x:c r="T95" s="2"/>
      <x:c r="U95" s="2"/>
      <x:c r="V95" s="2"/>
      <x:c r="W95" s="2"/>
      <x:c r="X95" s="2"/>
      <x:c r="Y95" s="2"/>
      <x:c r="Z95" s="2"/>
    </x:row>
    <x:row r="96">
      <x:c r="A96" s="49"/>
      <x:c r="B96" s="58"/>
      <x:c r="C96" s="7"/>
      <x:c r="D96" s="7"/>
      <x:c r="E96" s="63"/>
      <x:c r="F96" s="50"/>
      <x:c r="G96" s="62" t="str">
        <x:f>IF(A96="","",Dashboard!$H$6)</x:f>
      </x:c>
      <x:c r="H96" s="62" t="str">
        <x:f>IF(A96="","",F96*G96)</x:f>
      </x:c>
      <x:c r="I96" s="49"/>
      <x:c r="J96" s="50"/>
      <x:c r="K96" s="2"/>
      <x:c r="L96" s="2"/>
      <x:c r="M96" s="2"/>
      <x:c r="N96" s="2"/>
      <x:c r="O96" s="2"/>
      <x:c r="P96" s="2"/>
      <x:c r="Q96" s="2"/>
      <x:c r="R96" s="2"/>
      <x:c r="S96" s="2"/>
      <x:c r="T96" s="2"/>
      <x:c r="U96" s="2"/>
      <x:c r="V96" s="2"/>
      <x:c r="W96" s="2"/>
      <x:c r="X96" s="2"/>
      <x:c r="Y96" s="2"/>
      <x:c r="Z96" s="2"/>
    </x:row>
    <x:row r="97">
      <x:c r="A97" s="49"/>
      <x:c r="B97" s="58"/>
      <x:c r="C97" s="7"/>
      <x:c r="D97" s="7"/>
      <x:c r="E97" s="63"/>
      <x:c r="F97" s="50"/>
      <x:c r="G97" s="62" t="str">
        <x:f>IF(A97="","",Dashboard!$H$6)</x:f>
      </x:c>
      <x:c r="H97" s="62" t="str">
        <x:f>IF(A97="","",F97*G97)</x:f>
      </x:c>
      <x:c r="I97" s="49"/>
      <x:c r="J97" s="50"/>
      <x:c r="K97" s="2"/>
      <x:c r="L97" s="2"/>
      <x:c r="M97" s="2"/>
      <x:c r="N97" s="2"/>
      <x:c r="O97" s="2"/>
      <x:c r="P97" s="2"/>
      <x:c r="Q97" s="2"/>
      <x:c r="R97" s="2"/>
      <x:c r="S97" s="2"/>
      <x:c r="T97" s="2"/>
      <x:c r="U97" s="2"/>
      <x:c r="V97" s="2"/>
      <x:c r="W97" s="2"/>
      <x:c r="X97" s="2"/>
      <x:c r="Y97" s="2"/>
      <x:c r="Z97" s="2"/>
    </x:row>
    <x:row r="98">
      <x:c r="A98" s="49"/>
      <x:c r="B98" s="58"/>
      <x:c r="C98" s="7"/>
      <x:c r="D98" s="7"/>
      <x:c r="E98" s="63"/>
      <x:c r="F98" s="50"/>
      <x:c r="G98" s="62" t="str">
        <x:f>IF(A98="","",Dashboard!$H$6)</x:f>
      </x:c>
      <x:c r="H98" s="62" t="str">
        <x:f>IF(A98="","",F98*G98)</x:f>
      </x:c>
      <x:c r="I98" s="49"/>
      <x:c r="J98" s="50"/>
      <x:c r="K98" s="2"/>
      <x:c r="L98" s="2"/>
      <x:c r="M98" s="2"/>
      <x:c r="N98" s="2"/>
      <x:c r="O98" s="2"/>
      <x:c r="P98" s="2"/>
      <x:c r="Q98" s="2"/>
      <x:c r="R98" s="2"/>
      <x:c r="S98" s="2"/>
      <x:c r="T98" s="2"/>
      <x:c r="U98" s="2"/>
      <x:c r="V98" s="2"/>
      <x:c r="W98" s="2"/>
      <x:c r="X98" s="2"/>
      <x:c r="Y98" s="2"/>
      <x:c r="Z98" s="2"/>
    </x:row>
    <x:row r="99">
      <x:c r="A99" s="49"/>
      <x:c r="B99" s="58"/>
      <x:c r="C99" s="7"/>
      <x:c r="D99" s="7"/>
      <x:c r="E99" s="63"/>
      <x:c r="F99" s="50"/>
      <x:c r="G99" s="62" t="str">
        <x:f>IF(A99="","",Dashboard!$H$6)</x:f>
      </x:c>
      <x:c r="H99" s="62" t="str">
        <x:f>IF(A99="","",F99*G99)</x:f>
      </x:c>
      <x:c r="I99" s="49"/>
      <x:c r="J99" s="50"/>
      <x:c r="K99" s="2"/>
      <x:c r="L99" s="2"/>
      <x:c r="M99" s="2"/>
      <x:c r="N99" s="2"/>
      <x:c r="O99" s="2"/>
      <x:c r="P99" s="2"/>
      <x:c r="Q99" s="2"/>
      <x:c r="R99" s="2"/>
      <x:c r="S99" s="2"/>
      <x:c r="T99" s="2"/>
      <x:c r="U99" s="2"/>
      <x:c r="V99" s="2"/>
      <x:c r="W99" s="2"/>
      <x:c r="X99" s="2"/>
      <x:c r="Y99" s="2"/>
      <x:c r="Z99" s="2"/>
    </x:row>
    <x:row r="100">
      <x:c r="A100" s="49"/>
      <x:c r="B100" s="58"/>
      <x:c r="C100" s="7"/>
      <x:c r="D100" s="7"/>
      <x:c r="E100" s="63"/>
      <x:c r="F100" s="50"/>
      <x:c r="G100" s="62" t="str">
        <x:f>IF(A100="","",Dashboard!$H$6)</x:f>
      </x:c>
      <x:c r="H100" s="62" t="str">
        <x:f>IF(A100="","",F100*G100)</x:f>
      </x:c>
      <x:c r="I100" s="49"/>
      <x:c r="J100" s="50"/>
      <x:c r="K100" s="2"/>
      <x:c r="L100" s="2"/>
      <x:c r="M100" s="2"/>
      <x:c r="N100" s="2"/>
      <x:c r="O100" s="2"/>
      <x:c r="P100" s="2"/>
      <x:c r="Q100" s="2"/>
      <x:c r="R100" s="2"/>
      <x:c r="S100" s="2"/>
      <x:c r="T100" s="2"/>
      <x:c r="U100" s="2"/>
      <x:c r="V100" s="2"/>
      <x:c r="W100" s="2"/>
      <x:c r="X100" s="2"/>
      <x:c r="Y100" s="2"/>
      <x:c r="Z100" s="2"/>
    </x:row>
    <x:row r="101">
      <x:c r="A101" s="49"/>
      <x:c r="B101" s="58"/>
      <x:c r="C101" s="7"/>
      <x:c r="D101" s="7"/>
      <x:c r="E101" s="63"/>
      <x:c r="F101" s="50"/>
      <x:c r="G101" s="62" t="str">
        <x:f>IF(A101="","",Dashboard!$H$6)</x:f>
      </x:c>
      <x:c r="H101" s="62" t="str">
        <x:f>IF(A101="","",F101*G101)</x:f>
      </x:c>
      <x:c r="I101" s="49"/>
      <x:c r="J101" s="50"/>
      <x:c r="K101" s="2"/>
      <x:c r="L101" s="2"/>
      <x:c r="M101" s="2"/>
      <x:c r="N101" s="2"/>
      <x:c r="O101" s="2"/>
      <x:c r="P101" s="2"/>
      <x:c r="Q101" s="2"/>
      <x:c r="R101" s="2"/>
      <x:c r="S101" s="2"/>
      <x:c r="T101" s="2"/>
      <x:c r="U101" s="2"/>
      <x:c r="V101" s="2"/>
      <x:c r="W101" s="2"/>
      <x:c r="X101" s="2"/>
      <x:c r="Y101" s="2"/>
      <x:c r="Z101" s="2"/>
    </x:row>
    <x:row r="102">
      <x:c r="A102" s="49"/>
      <x:c r="B102" s="58"/>
      <x:c r="C102" s="7"/>
      <x:c r="D102" s="7"/>
      <x:c r="E102" s="63"/>
      <x:c r="F102" s="50"/>
      <x:c r="G102" s="62" t="str">
        <x:f>IF(A102="","",Dashboard!$H$6)</x:f>
      </x:c>
      <x:c r="H102" s="62" t="str">
        <x:f>IF(A102="","",F102*G102)</x:f>
      </x:c>
      <x:c r="I102" s="49"/>
      <x:c r="J102" s="50"/>
      <x:c r="K102" s="2"/>
      <x:c r="L102" s="2"/>
      <x:c r="M102" s="2"/>
      <x:c r="N102" s="2"/>
      <x:c r="O102" s="2"/>
      <x:c r="P102" s="2"/>
      <x:c r="Q102" s="2"/>
      <x:c r="R102" s="2"/>
      <x:c r="S102" s="2"/>
      <x:c r="T102" s="2"/>
      <x:c r="U102" s="2"/>
      <x:c r="V102" s="2"/>
      <x:c r="W102" s="2"/>
      <x:c r="X102" s="2"/>
      <x:c r="Y102" s="2"/>
      <x:c r="Z102" s="2"/>
    </x:row>
    <x:row r="103">
      <x:c r="A103" s="49"/>
      <x:c r="B103" s="58"/>
      <x:c r="C103" s="7"/>
      <x:c r="D103" s="7"/>
      <x:c r="E103" s="63"/>
      <x:c r="F103" s="50"/>
      <x:c r="G103" s="62" t="str">
        <x:f>IF(A103="","",Dashboard!$H$6)</x:f>
      </x:c>
      <x:c r="H103" s="62" t="str">
        <x:f>IF(A103="","",F103*G103)</x:f>
      </x:c>
      <x:c r="I103" s="49"/>
      <x:c r="J103" s="50"/>
      <x:c r="K103" s="2"/>
      <x:c r="L103" s="2"/>
      <x:c r="M103" s="2"/>
      <x:c r="N103" s="2"/>
      <x:c r="O103" s="2"/>
      <x:c r="P103" s="2"/>
      <x:c r="Q103" s="2"/>
      <x:c r="R103" s="2"/>
      <x:c r="S103" s="2"/>
      <x:c r="T103" s="2"/>
      <x:c r="U103" s="2"/>
      <x:c r="V103" s="2"/>
      <x:c r="W103" s="2"/>
      <x:c r="X103" s="2"/>
      <x:c r="Y103" s="2"/>
      <x:c r="Z103" s="2"/>
    </x:row>
    <x:row r="104">
      <x:c r="A104" s="49"/>
      <x:c r="B104" s="58"/>
      <x:c r="C104" s="7"/>
      <x:c r="D104" s="7"/>
      <x:c r="E104" s="63"/>
      <x:c r="F104" s="50"/>
      <x:c r="G104" s="62" t="str">
        <x:f>IF(A104="","",Dashboard!$H$6)</x:f>
      </x:c>
      <x:c r="H104" s="62" t="str">
        <x:f>IF(A104="","",F104*G104)</x:f>
      </x:c>
      <x:c r="I104" s="49"/>
      <x:c r="J104" s="50"/>
      <x:c r="K104" s="2"/>
      <x:c r="L104" s="2"/>
      <x:c r="M104" s="2"/>
      <x:c r="N104" s="2"/>
      <x:c r="O104" s="2"/>
      <x:c r="P104" s="2"/>
      <x:c r="Q104" s="2"/>
      <x:c r="R104" s="2"/>
      <x:c r="S104" s="2"/>
      <x:c r="T104" s="2"/>
      <x:c r="U104" s="2"/>
      <x:c r="V104" s="2"/>
      <x:c r="W104" s="2"/>
      <x:c r="X104" s="2"/>
      <x:c r="Y104" s="2"/>
      <x:c r="Z104" s="2"/>
    </x:row>
    <x:row r="105">
      <x:c r="A105" s="49"/>
      <x:c r="B105" s="58"/>
      <x:c r="C105" s="7"/>
      <x:c r="D105" s="7"/>
      <x:c r="E105" s="63"/>
      <x:c r="F105" s="50"/>
      <x:c r="G105" s="62" t="str">
        <x:f>IF(A105="","",Dashboard!$H$6)</x:f>
      </x:c>
      <x:c r="H105" s="62" t="str">
        <x:f>IF(A105="","",F105*G105)</x:f>
      </x:c>
      <x:c r="I105" s="49"/>
      <x:c r="J105" s="50"/>
      <x:c r="K105" s="2"/>
      <x:c r="L105" s="2"/>
      <x:c r="M105" s="2"/>
      <x:c r="N105" s="2"/>
      <x:c r="O105" s="2"/>
      <x:c r="P105" s="2"/>
      <x:c r="Q105" s="2"/>
      <x:c r="R105" s="2"/>
      <x:c r="S105" s="2"/>
      <x:c r="T105" s="2"/>
      <x:c r="U105" s="2"/>
      <x:c r="V105" s="2"/>
      <x:c r="W105" s="2"/>
      <x:c r="X105" s="2"/>
      <x:c r="Y105" s="2"/>
      <x:c r="Z105" s="2"/>
    </x:row>
    <x:row r="106">
      <x:c r="A106" s="51"/>
      <x:c r="B106" s="59"/>
      <x:c r="C106" s="52"/>
      <x:c r="D106" s="52"/>
      <x:c r="E106" s="65"/>
      <x:c r="F106" s="53"/>
      <x:c r="G106" s="62" t="str">
        <x:f>IF(A106="","",Dashboard!$H$6)</x:f>
      </x:c>
      <x:c r="H106" s="62" t="str">
        <x:f>IF(A106="","",F106*G106)</x:f>
      </x:c>
      <x:c r="I106" s="51"/>
      <x:c r="J106" s="53"/>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sheetData>
  <x:mergeCells>
    <x:mergeCell ref="A2:J2"/>
    <x:mergeCell ref="A4:J4"/>
  </x:mergeCells>
  <x:dataValidations count="1">
    <x:dataValidation type="list" sqref="C7:C106">
      <x:formula1>"Supplies,Travel,Marketing,Insurance,Software,Training,Other"</x:formula1>
    </x:dataValidation>
  </x:dataValidations>
  <x:pageMargins left="0.7" right="0.7" top="0.75" bottom="0.75" header="0.3" footer="0.3"/>
  <x:tableParts count="1">
    <x:tablePart xmlns:r="http://schemas.openxmlformats.org/officeDocument/2006/relationships" r:id="R9c4f63edd23c4770"/>
  </x:tableParts>
</x:worksheet>
</file>

<file path=xl/worksheets/sheet5.xml><?xml version="1.0" encoding="utf-8"?>
<x:worksheet xmlns:x="http://schemas.openxmlformats.org/spreadsheetml/2006/main">
  <x:sheetPr>
    <x:tabColor rgb="FFD6A94C"/>
  </x:sheetPr>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34"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x:c r="A2" s="3" t="str">
        <x:v>Services &amp; Rates</x:v>
      </x:c>
      <x:c r="B2" s="2"/>
      <x:c r="C2" s="2"/>
      <x:c r="D2" s="2"/>
      <x:c r="E2" s="2"/>
      <x:c r="F2" s="2"/>
      <x:c r="G2" s="2"/>
      <x:c r="H2" s="2"/>
      <x:c r="I2" s="2"/>
      <x:c r="J2" s="2"/>
      <x:c r="K2" s="2"/>
      <x:c r="L2" s="2"/>
      <x:c r="M2" s="2"/>
      <x:c r="N2" s="2"/>
      <x:c r="O2" s="2"/>
      <x:c r="P2" s="2"/>
      <x:c r="Q2" s="2"/>
      <x:c r="R2" s="2"/>
      <x:c r="S2" s="2"/>
      <x:c r="T2" s="2"/>
      <x:c r="U2" s="2"/>
      <x:c r="V2" s="2"/>
      <x:c r="W2" s="2"/>
      <x:c r="X2" s="2"/>
      <x:c r="Y2" s="2"/>
      <x:c r="Z2" s="2"/>
    </x:row>
    <x:row r="3">
      <x:c r="A3" s="4"/>
      <x:c r="B3" s="4"/>
      <x:c r="C3" s="4"/>
      <x:c r="D3" s="4"/>
      <x:c r="E3" s="4"/>
      <x:c r="F3" s="2"/>
      <x:c r="G3" s="2"/>
      <x:c r="H3" s="2"/>
      <x:c r="I3" s="2"/>
      <x:c r="J3" s="2"/>
      <x:c r="K3" s="2"/>
      <x:c r="L3" s="2"/>
      <x:c r="M3" s="2"/>
      <x:c r="N3" s="2"/>
      <x:c r="O3" s="2"/>
      <x:c r="P3" s="2"/>
      <x:c r="Q3" s="2"/>
      <x:c r="R3" s="2"/>
      <x:c r="S3" s="2"/>
      <x:c r="T3" s="2"/>
      <x:c r="U3" s="2"/>
      <x:c r="V3" s="2"/>
      <x:c r="W3" s="2"/>
      <x:c r="X3" s="2"/>
      <x:c r="Y3" s="2"/>
      <x:c r="Z3" s="2"/>
    </x:row>
    <x:row r="4" ht="32" customHeight="1">
      <x:c r="A4" s="6" t="str">
        <x:v>Edit active services and reference rates. Confirm the actual agreed price on each visit row.</x:v>
      </x:c>
      <x:c r="B4" s="2"/>
      <x:c r="C4" s="2"/>
      <x:c r="D4" s="2"/>
      <x:c r="E4" s="2"/>
      <x:c r="F4" s="2"/>
      <x:c r="G4" s="2"/>
      <x:c r="H4" s="2"/>
      <x:c r="I4" s="2"/>
      <x:c r="J4" s="2"/>
      <x:c r="K4" s="2"/>
      <x:c r="L4" s="2"/>
      <x:c r="M4" s="2"/>
      <x:c r="N4" s="2"/>
      <x:c r="O4" s="2"/>
      <x:c r="P4" s="2"/>
      <x:c r="Q4" s="2"/>
      <x:c r="R4" s="2"/>
      <x:c r="S4" s="2"/>
      <x:c r="T4" s="2"/>
      <x:c r="U4" s="2"/>
      <x:c r="V4" s="2"/>
      <x:c r="W4" s="2"/>
      <x:c r="X4" s="2"/>
      <x:c r="Y4" s="2"/>
      <x:c r="Z4" s="2"/>
    </x:row>
    <x:row r="5">
      <x:c r="A5" s="2"/>
      <x:c r="B5" s="2"/>
      <x:c r="C5" s="2"/>
      <x:c r="D5" s="2"/>
      <x:c r="E5" s="2"/>
      <x:c r="F5" s="2"/>
      <x:c r="G5" s="2"/>
      <x:c r="H5" s="2"/>
      <x:c r="I5" s="2"/>
      <x:c r="J5" s="2"/>
      <x:c r="K5" s="2"/>
      <x:c r="L5" s="2"/>
      <x:c r="M5" s="2"/>
      <x:c r="N5" s="2"/>
      <x:c r="O5" s="2"/>
      <x:c r="P5" s="2"/>
      <x:c r="Q5" s="2"/>
      <x:c r="R5" s="2"/>
      <x:c r="S5" s="2"/>
      <x:c r="T5" s="2"/>
      <x:c r="U5" s="2"/>
      <x:c r="V5" s="2"/>
      <x:c r="W5" s="2"/>
      <x:c r="X5" s="2"/>
      <x:c r="Y5" s="2"/>
      <x:c r="Z5" s="2"/>
    </x:row>
    <x:row r="6" ht="30" customHeight="1">
      <x:c r="A6" s="43" t="str">
        <x:v>Service</x:v>
      </x:c>
      <x:c r="B6" s="44" t="str">
        <x:v>Reference rate</x:v>
      </x:c>
      <x:c r="C6" s="44" t="str">
        <x:v>Typical minutes</x:v>
      </x:c>
      <x:c r="D6" s="44" t="str">
        <x:v>Active</x:v>
      </x:c>
      <x:c r="E6" s="45" t="str">
        <x:v>Notes</x:v>
      </x:c>
      <x:c r="F6" s="2"/>
      <x:c r="G6" s="2"/>
      <x:c r="H6" s="2"/>
      <x:c r="I6" s="2"/>
      <x:c r="J6" s="2"/>
      <x:c r="K6" s="2"/>
      <x:c r="L6" s="2"/>
      <x:c r="M6" s="2"/>
      <x:c r="N6" s="2"/>
      <x:c r="O6" s="2"/>
      <x:c r="P6" s="2"/>
      <x:c r="Q6" s="2"/>
      <x:c r="R6" s="2"/>
      <x:c r="S6" s="2"/>
      <x:c r="T6" s="2"/>
      <x:c r="U6" s="2"/>
      <x:c r="V6" s="2"/>
      <x:c r="W6" s="2"/>
      <x:c r="X6" s="2"/>
      <x:c r="Y6" s="2"/>
      <x:c r="Z6" s="2"/>
    </x:row>
    <x:row r="7">
      <x:c r="A7" s="46" t="str">
        <x:v>30-min dog walk</x:v>
      </x:c>
      <x:c r="B7" s="60" t="n">
        <x:v>28</x:v>
      </x:c>
      <x:c r="C7" s="47" t="n">
        <x:v>30</x:v>
      </x:c>
      <x:c r="D7" s="47" t="str">
        <x:v>Yes</x:v>
      </x:c>
      <x:c r="E7" s="48" t="str">
        <x:v>Sample assumption — validate locally</x:v>
      </x:c>
      <x:c r="F7" s="2"/>
      <x:c r="G7" s="2"/>
      <x:c r="H7" s="2"/>
      <x:c r="I7" s="2"/>
      <x:c r="J7" s="2"/>
      <x:c r="K7" s="2"/>
      <x:c r="L7" s="2"/>
      <x:c r="M7" s="2"/>
      <x:c r="N7" s="2"/>
      <x:c r="O7" s="2"/>
      <x:c r="P7" s="2"/>
      <x:c r="Q7" s="2"/>
      <x:c r="R7" s="2"/>
      <x:c r="S7" s="2"/>
      <x:c r="T7" s="2"/>
      <x:c r="U7" s="2"/>
      <x:c r="V7" s="2"/>
      <x:c r="W7" s="2"/>
      <x:c r="X7" s="2"/>
      <x:c r="Y7" s="2"/>
      <x:c r="Z7" s="2"/>
    </x:row>
    <x:row r="8">
      <x:c r="A8" s="49" t="str">
        <x:v>60-min dog walk</x:v>
      </x:c>
      <x:c r="B8" s="63" t="n">
        <x:v>45</x:v>
      </x:c>
      <x:c r="C8" s="7" t="n">
        <x:v>60</x:v>
      </x:c>
      <x:c r="D8" s="7" t="str">
        <x:v>Yes</x:v>
      </x:c>
      <x:c r="E8" s="50" t="str">
        <x:v>Sample assumption — validate locally</x:v>
      </x:c>
      <x:c r="F8" s="2"/>
      <x:c r="G8" s="2"/>
      <x:c r="H8" s="2"/>
      <x:c r="I8" s="2"/>
      <x:c r="J8" s="2"/>
      <x:c r="K8" s="2"/>
      <x:c r="L8" s="2"/>
      <x:c r="M8" s="2"/>
      <x:c r="N8" s="2"/>
      <x:c r="O8" s="2"/>
      <x:c r="P8" s="2"/>
      <x:c r="Q8" s="2"/>
      <x:c r="R8" s="2"/>
      <x:c r="S8" s="2"/>
      <x:c r="T8" s="2"/>
      <x:c r="U8" s="2"/>
      <x:c r="V8" s="2"/>
      <x:c r="W8" s="2"/>
      <x:c r="X8" s="2"/>
      <x:c r="Y8" s="2"/>
      <x:c r="Z8" s="2"/>
    </x:row>
    <x:row r="9">
      <x:c r="A9" s="49" t="str">
        <x:v>Drop-in visit</x:v>
      </x:c>
      <x:c r="B9" s="63" t="n">
        <x:v>32</x:v>
      </x:c>
      <x:c r="C9" s="7" t="n">
        <x:v>30</x:v>
      </x:c>
      <x:c r="D9" s="7" t="str">
        <x:v>Yes</x:v>
      </x:c>
      <x:c r="E9" s="50" t="str">
        <x:v>Sample assumption — validate locally</x:v>
      </x:c>
      <x:c r="F9" s="2"/>
      <x:c r="G9" s="2"/>
      <x:c r="H9" s="2"/>
      <x:c r="I9" s="2"/>
      <x:c r="J9" s="2"/>
      <x:c r="K9" s="2"/>
      <x:c r="L9" s="2"/>
      <x:c r="M9" s="2"/>
      <x:c r="N9" s="2"/>
      <x:c r="O9" s="2"/>
      <x:c r="P9" s="2"/>
      <x:c r="Q9" s="2"/>
      <x:c r="R9" s="2"/>
      <x:c r="S9" s="2"/>
      <x:c r="T9" s="2"/>
      <x:c r="U9" s="2"/>
      <x:c r="V9" s="2"/>
      <x:c r="W9" s="2"/>
      <x:c r="X9" s="2"/>
      <x:c r="Y9" s="2"/>
      <x:c r="Z9" s="2"/>
    </x:row>
    <x:row r="10">
      <x:c r="A10" s="49" t="str">
        <x:v>House sitting</x:v>
      </x:c>
      <x:c r="B10" s="63" t="n">
        <x:v>85</x:v>
      </x:c>
      <x:c r="C10" s="7" t="n">
        <x:v>720</x:v>
      </x:c>
      <x:c r="D10" s="7" t="str">
        <x:v>No</x:v>
      </x:c>
      <x:c r="E10" s="50" t="str">
        <x:v>Sample assumption — validate locally</x:v>
      </x:c>
      <x:c r="F10" s="2"/>
      <x:c r="G10" s="2"/>
      <x:c r="H10" s="2"/>
      <x:c r="I10" s="2"/>
      <x:c r="J10" s="2"/>
      <x:c r="K10" s="2"/>
      <x:c r="L10" s="2"/>
      <x:c r="M10" s="2"/>
      <x:c r="N10" s="2"/>
      <x:c r="O10" s="2"/>
      <x:c r="P10" s="2"/>
      <x:c r="Q10" s="2"/>
      <x:c r="R10" s="2"/>
      <x:c r="S10" s="2"/>
      <x:c r="T10" s="2"/>
      <x:c r="U10" s="2"/>
      <x:c r="V10" s="2"/>
      <x:c r="W10" s="2"/>
      <x:c r="X10" s="2"/>
      <x:c r="Y10" s="2"/>
      <x:c r="Z10" s="2"/>
    </x:row>
    <x:row r="11">
      <x:c r="A11" s="49" t="str">
        <x:v>Pet taxi</x:v>
      </x:c>
      <x:c r="B11" s="63" t="n">
        <x:v>35</x:v>
      </x:c>
      <x:c r="C11" s="7" t="n">
        <x:v>30</x:v>
      </x:c>
      <x:c r="D11" s="7" t="str">
        <x:v>No</x:v>
      </x:c>
      <x:c r="E11" s="50" t="str">
        <x:v>Sample assumption — validate locally</x:v>
      </x:c>
      <x:c r="F11" s="2"/>
      <x:c r="G11" s="2"/>
      <x:c r="H11" s="2"/>
      <x:c r="I11" s="2"/>
      <x:c r="J11" s="2"/>
      <x:c r="K11" s="2"/>
      <x:c r="L11" s="2"/>
      <x:c r="M11" s="2"/>
      <x:c r="N11" s="2"/>
      <x:c r="O11" s="2"/>
      <x:c r="P11" s="2"/>
      <x:c r="Q11" s="2"/>
      <x:c r="R11" s="2"/>
      <x:c r="S11" s="2"/>
      <x:c r="T11" s="2"/>
      <x:c r="U11" s="2"/>
      <x:c r="V11" s="2"/>
      <x:c r="W11" s="2"/>
      <x:c r="X11" s="2"/>
      <x:c r="Y11" s="2"/>
      <x:c r="Z11" s="2"/>
    </x:row>
    <x:row r="12">
      <x:c r="A12" s="49"/>
      <x:c r="B12" s="63"/>
      <x:c r="C12" s="7"/>
      <x:c r="D12" s="7"/>
      <x:c r="E12" s="50"/>
      <x:c r="F12" s="2"/>
      <x:c r="G12" s="2"/>
      <x:c r="H12" s="2"/>
      <x:c r="I12" s="2"/>
      <x:c r="J12" s="2"/>
      <x:c r="K12" s="2"/>
      <x:c r="L12" s="2"/>
      <x:c r="M12" s="2"/>
      <x:c r="N12" s="2"/>
      <x:c r="O12" s="2"/>
      <x:c r="P12" s="2"/>
      <x:c r="Q12" s="2"/>
      <x:c r="R12" s="2"/>
      <x:c r="S12" s="2"/>
      <x:c r="T12" s="2"/>
      <x:c r="U12" s="2"/>
      <x:c r="V12" s="2"/>
      <x:c r="W12" s="2"/>
      <x:c r="X12" s="2"/>
      <x:c r="Y12" s="2"/>
      <x:c r="Z12" s="2"/>
    </x:row>
    <x:row r="13">
      <x:c r="A13" s="49"/>
      <x:c r="B13" s="63"/>
      <x:c r="C13" s="7"/>
      <x:c r="D13" s="7"/>
      <x:c r="E13" s="50"/>
      <x:c r="F13" s="2"/>
      <x:c r="G13" s="2"/>
      <x:c r="H13" s="2"/>
      <x:c r="I13" s="2"/>
      <x:c r="J13" s="2"/>
      <x:c r="K13" s="2"/>
      <x:c r="L13" s="2"/>
      <x:c r="M13" s="2"/>
      <x:c r="N13" s="2"/>
      <x:c r="O13" s="2"/>
      <x:c r="P13" s="2"/>
      <x:c r="Q13" s="2"/>
      <x:c r="R13" s="2"/>
      <x:c r="S13" s="2"/>
      <x:c r="T13" s="2"/>
      <x:c r="U13" s="2"/>
      <x:c r="V13" s="2"/>
      <x:c r="W13" s="2"/>
      <x:c r="X13" s="2"/>
      <x:c r="Y13" s="2"/>
      <x:c r="Z13" s="2"/>
    </x:row>
    <x:row r="14">
      <x:c r="A14" s="49"/>
      <x:c r="B14" s="63"/>
      <x:c r="C14" s="7"/>
      <x:c r="D14" s="7"/>
      <x:c r="E14" s="50"/>
      <x:c r="F14" s="2"/>
      <x:c r="G14" s="2"/>
      <x:c r="H14" s="2"/>
      <x:c r="I14" s="2"/>
      <x:c r="J14" s="2"/>
      <x:c r="K14" s="2"/>
      <x:c r="L14" s="2"/>
      <x:c r="M14" s="2"/>
      <x:c r="N14" s="2"/>
      <x:c r="O14" s="2"/>
      <x:c r="P14" s="2"/>
      <x:c r="Q14" s="2"/>
      <x:c r="R14" s="2"/>
      <x:c r="S14" s="2"/>
      <x:c r="T14" s="2"/>
      <x:c r="U14" s="2"/>
      <x:c r="V14" s="2"/>
      <x:c r="W14" s="2"/>
      <x:c r="X14" s="2"/>
      <x:c r="Y14" s="2"/>
      <x:c r="Z14" s="2"/>
    </x:row>
    <x:row r="15">
      <x:c r="A15" s="49"/>
      <x:c r="B15" s="63"/>
      <x:c r="C15" s="7"/>
      <x:c r="D15" s="7"/>
      <x:c r="E15" s="50"/>
      <x:c r="F15" s="2"/>
      <x:c r="G15" s="2"/>
      <x:c r="H15" s="2"/>
      <x:c r="I15" s="2"/>
      <x:c r="J15" s="2"/>
      <x:c r="K15" s="2"/>
      <x:c r="L15" s="2"/>
      <x:c r="M15" s="2"/>
      <x:c r="N15" s="2"/>
      <x:c r="O15" s="2"/>
      <x:c r="P15" s="2"/>
      <x:c r="Q15" s="2"/>
      <x:c r="R15" s="2"/>
      <x:c r="S15" s="2"/>
      <x:c r="T15" s="2"/>
      <x:c r="U15" s="2"/>
      <x:c r="V15" s="2"/>
      <x:c r="W15" s="2"/>
      <x:c r="X15" s="2"/>
      <x:c r="Y15" s="2"/>
      <x:c r="Z15" s="2"/>
    </x:row>
    <x:row r="16">
      <x:c r="A16" s="49"/>
      <x:c r="B16" s="63"/>
      <x:c r="C16" s="7"/>
      <x:c r="D16" s="7"/>
      <x:c r="E16" s="50"/>
      <x:c r="F16" s="2"/>
      <x:c r="G16" s="2"/>
      <x:c r="H16" s="2"/>
      <x:c r="I16" s="2"/>
      <x:c r="J16" s="2"/>
      <x:c r="K16" s="2"/>
      <x:c r="L16" s="2"/>
      <x:c r="M16" s="2"/>
      <x:c r="N16" s="2"/>
      <x:c r="O16" s="2"/>
      <x:c r="P16" s="2"/>
      <x:c r="Q16" s="2"/>
      <x:c r="R16" s="2"/>
      <x:c r="S16" s="2"/>
      <x:c r="T16" s="2"/>
      <x:c r="U16" s="2"/>
      <x:c r="V16" s="2"/>
      <x:c r="W16" s="2"/>
      <x:c r="X16" s="2"/>
      <x:c r="Y16" s="2"/>
      <x:c r="Z16" s="2"/>
    </x:row>
    <x:row r="17">
      <x:c r="A17" s="49"/>
      <x:c r="B17" s="63"/>
      <x:c r="C17" s="7"/>
      <x:c r="D17" s="7"/>
      <x:c r="E17" s="50"/>
      <x:c r="F17" s="2"/>
      <x:c r="G17" s="2"/>
      <x:c r="H17" s="2"/>
      <x:c r="I17" s="2"/>
      <x:c r="J17" s="2"/>
      <x:c r="K17" s="2"/>
      <x:c r="L17" s="2"/>
      <x:c r="M17" s="2"/>
      <x:c r="N17" s="2"/>
      <x:c r="O17" s="2"/>
      <x:c r="P17" s="2"/>
      <x:c r="Q17" s="2"/>
      <x:c r="R17" s="2"/>
      <x:c r="S17" s="2"/>
      <x:c r="T17" s="2"/>
      <x:c r="U17" s="2"/>
      <x:c r="V17" s="2"/>
      <x:c r="W17" s="2"/>
      <x:c r="X17" s="2"/>
      <x:c r="Y17" s="2"/>
      <x:c r="Z17" s="2"/>
    </x:row>
    <x:row r="18">
      <x:c r="A18" s="49"/>
      <x:c r="B18" s="63"/>
      <x:c r="C18" s="7"/>
      <x:c r="D18" s="7"/>
      <x:c r="E18" s="50"/>
      <x:c r="F18" s="2"/>
      <x:c r="G18" s="2"/>
      <x:c r="H18" s="2"/>
      <x:c r="I18" s="2"/>
      <x:c r="J18" s="2"/>
      <x:c r="K18" s="2"/>
      <x:c r="L18" s="2"/>
      <x:c r="M18" s="2"/>
      <x:c r="N18" s="2"/>
      <x:c r="O18" s="2"/>
      <x:c r="P18" s="2"/>
      <x:c r="Q18" s="2"/>
      <x:c r="R18" s="2"/>
      <x:c r="S18" s="2"/>
      <x:c r="T18" s="2"/>
      <x:c r="U18" s="2"/>
      <x:c r="V18" s="2"/>
      <x:c r="W18" s="2"/>
      <x:c r="X18" s="2"/>
      <x:c r="Y18" s="2"/>
      <x:c r="Z18" s="2"/>
    </x:row>
    <x:row r="19">
      <x:c r="A19" s="49"/>
      <x:c r="B19" s="63"/>
      <x:c r="C19" s="7"/>
      <x:c r="D19" s="7"/>
      <x:c r="E19" s="50"/>
      <x:c r="F19" s="2"/>
      <x:c r="G19" s="2"/>
      <x:c r="H19" s="2"/>
      <x:c r="I19" s="2"/>
      <x:c r="J19" s="2"/>
      <x:c r="K19" s="2"/>
      <x:c r="L19" s="2"/>
      <x:c r="M19" s="2"/>
      <x:c r="N19" s="2"/>
      <x:c r="O19" s="2"/>
      <x:c r="P19" s="2"/>
      <x:c r="Q19" s="2"/>
      <x:c r="R19" s="2"/>
      <x:c r="S19" s="2"/>
      <x:c r="T19" s="2"/>
      <x:c r="U19" s="2"/>
      <x:c r="V19" s="2"/>
      <x:c r="W19" s="2"/>
      <x:c r="X19" s="2"/>
      <x:c r="Y19" s="2"/>
      <x:c r="Z19" s="2"/>
    </x:row>
    <x:row r="20">
      <x:c r="A20" s="49"/>
      <x:c r="B20" s="63"/>
      <x:c r="C20" s="7"/>
      <x:c r="D20" s="7"/>
      <x:c r="E20" s="50"/>
      <x:c r="F20" s="2"/>
      <x:c r="G20" s="2"/>
      <x:c r="H20" s="2"/>
      <x:c r="I20" s="2"/>
      <x:c r="J20" s="2"/>
      <x:c r="K20" s="2"/>
      <x:c r="L20" s="2"/>
      <x:c r="M20" s="2"/>
      <x:c r="N20" s="2"/>
      <x:c r="O20" s="2"/>
      <x:c r="P20" s="2"/>
      <x:c r="Q20" s="2"/>
      <x:c r="R20" s="2"/>
      <x:c r="S20" s="2"/>
      <x:c r="T20" s="2"/>
      <x:c r="U20" s="2"/>
      <x:c r="V20" s="2"/>
      <x:c r="W20" s="2"/>
      <x:c r="X20" s="2"/>
      <x:c r="Y20" s="2"/>
      <x:c r="Z20" s="2"/>
    </x:row>
    <x:row r="21">
      <x:c r="A21" s="49"/>
      <x:c r="B21" s="63"/>
      <x:c r="C21" s="7"/>
      <x:c r="D21" s="7"/>
      <x:c r="E21" s="50"/>
      <x:c r="F21" s="2"/>
      <x:c r="G21" s="2"/>
      <x:c r="H21" s="2"/>
      <x:c r="I21" s="2"/>
      <x:c r="J21" s="2"/>
      <x:c r="K21" s="2"/>
      <x:c r="L21" s="2"/>
      <x:c r="M21" s="2"/>
      <x:c r="N21" s="2"/>
      <x:c r="O21" s="2"/>
      <x:c r="P21" s="2"/>
      <x:c r="Q21" s="2"/>
      <x:c r="R21" s="2"/>
      <x:c r="S21" s="2"/>
      <x:c r="T21" s="2"/>
      <x:c r="U21" s="2"/>
      <x:c r="V21" s="2"/>
      <x:c r="W21" s="2"/>
      <x:c r="X21" s="2"/>
      <x:c r="Y21" s="2"/>
      <x:c r="Z21" s="2"/>
    </x:row>
    <x:row r="22">
      <x:c r="A22" s="49"/>
      <x:c r="B22" s="63"/>
      <x:c r="C22" s="7"/>
      <x:c r="D22" s="7"/>
      <x:c r="E22" s="50"/>
      <x:c r="F22" s="2"/>
      <x:c r="G22" s="2"/>
      <x:c r="H22" s="2"/>
      <x:c r="I22" s="2"/>
      <x:c r="J22" s="2"/>
      <x:c r="K22" s="2"/>
      <x:c r="L22" s="2"/>
      <x:c r="M22" s="2"/>
      <x:c r="N22" s="2"/>
      <x:c r="O22" s="2"/>
      <x:c r="P22" s="2"/>
      <x:c r="Q22" s="2"/>
      <x:c r="R22" s="2"/>
      <x:c r="S22" s="2"/>
      <x:c r="T22" s="2"/>
      <x:c r="U22" s="2"/>
      <x:c r="V22" s="2"/>
      <x:c r="W22" s="2"/>
      <x:c r="X22" s="2"/>
      <x:c r="Y22" s="2"/>
      <x:c r="Z22" s="2"/>
    </x:row>
    <x:row r="23">
      <x:c r="A23" s="49"/>
      <x:c r="B23" s="63"/>
      <x:c r="C23" s="7"/>
      <x:c r="D23" s="7"/>
      <x:c r="E23" s="50"/>
      <x:c r="F23" s="2"/>
      <x:c r="G23" s="2"/>
      <x:c r="H23" s="2"/>
      <x:c r="I23" s="2"/>
      <x:c r="J23" s="2"/>
      <x:c r="K23" s="2"/>
      <x:c r="L23" s="2"/>
      <x:c r="M23" s="2"/>
      <x:c r="N23" s="2"/>
      <x:c r="O23" s="2"/>
      <x:c r="P23" s="2"/>
      <x:c r="Q23" s="2"/>
      <x:c r="R23" s="2"/>
      <x:c r="S23" s="2"/>
      <x:c r="T23" s="2"/>
      <x:c r="U23" s="2"/>
      <x:c r="V23" s="2"/>
      <x:c r="W23" s="2"/>
      <x:c r="X23" s="2"/>
      <x:c r="Y23" s="2"/>
      <x:c r="Z23" s="2"/>
    </x:row>
    <x:row r="24">
      <x:c r="A24" s="49"/>
      <x:c r="B24" s="63"/>
      <x:c r="C24" s="7"/>
      <x:c r="D24" s="7"/>
      <x:c r="E24" s="50"/>
      <x:c r="F24" s="2"/>
      <x:c r="G24" s="2"/>
      <x:c r="H24" s="2"/>
      <x:c r="I24" s="2"/>
      <x:c r="J24" s="2"/>
      <x:c r="K24" s="2"/>
      <x:c r="L24" s="2"/>
      <x:c r="M24" s="2"/>
      <x:c r="N24" s="2"/>
      <x:c r="O24" s="2"/>
      <x:c r="P24" s="2"/>
      <x:c r="Q24" s="2"/>
      <x:c r="R24" s="2"/>
      <x:c r="S24" s="2"/>
      <x:c r="T24" s="2"/>
      <x:c r="U24" s="2"/>
      <x:c r="V24" s="2"/>
      <x:c r="W24" s="2"/>
      <x:c r="X24" s="2"/>
      <x:c r="Y24" s="2"/>
      <x:c r="Z24" s="2"/>
    </x:row>
    <x:row r="25">
      <x:c r="A25" s="49"/>
      <x:c r="B25" s="63"/>
      <x:c r="C25" s="7"/>
      <x:c r="D25" s="7"/>
      <x:c r="E25" s="50"/>
      <x:c r="F25" s="2"/>
      <x:c r="G25" s="2"/>
      <x:c r="H25" s="2"/>
      <x:c r="I25" s="2"/>
      <x:c r="J25" s="2"/>
      <x:c r="K25" s="2"/>
      <x:c r="L25" s="2"/>
      <x:c r="M25" s="2"/>
      <x:c r="N25" s="2"/>
      <x:c r="O25" s="2"/>
      <x:c r="P25" s="2"/>
      <x:c r="Q25" s="2"/>
      <x:c r="R25" s="2"/>
      <x:c r="S25" s="2"/>
      <x:c r="T25" s="2"/>
      <x:c r="U25" s="2"/>
      <x:c r="V25" s="2"/>
      <x:c r="W25" s="2"/>
      <x:c r="X25" s="2"/>
      <x:c r="Y25" s="2"/>
      <x:c r="Z25" s="2"/>
    </x:row>
    <x:row r="26">
      <x:c r="A26" s="51"/>
      <x:c r="B26" s="65"/>
      <x:c r="C26" s="52"/>
      <x:c r="D26" s="52"/>
      <x:c r="E26" s="53"/>
      <x:c r="F26" s="2"/>
      <x:c r="G26" s="2"/>
      <x:c r="H26" s="2"/>
      <x:c r="I26" s="2"/>
      <x:c r="J26" s="2"/>
      <x:c r="K26" s="2"/>
      <x:c r="L26" s="2"/>
      <x:c r="M26" s="2"/>
      <x:c r="N26" s="2"/>
      <x:c r="O26" s="2"/>
      <x:c r="P26" s="2"/>
      <x:c r="Q26" s="2"/>
      <x:c r="R26" s="2"/>
      <x:c r="S26" s="2"/>
      <x:c r="T26" s="2"/>
      <x:c r="U26" s="2"/>
      <x:c r="V26" s="2"/>
      <x:c r="W26" s="2"/>
      <x:c r="X26" s="2"/>
      <x:c r="Y26" s="2"/>
      <x:c r="Z26" s="2"/>
    </x:row>
    <x:row r="27">
      <x:c r="A27" s="2"/>
      <x:c r="B27" s="2"/>
      <x:c r="C27" s="2"/>
      <x:c r="D27" s="2"/>
      <x:c r="E27" s="2"/>
      <x:c r="F27" s="2"/>
      <x:c r="G27" s="2"/>
      <x:c r="H27" s="2"/>
      <x:c r="I27" s="2"/>
      <x:c r="J27" s="2"/>
      <x:c r="K27" s="2"/>
      <x:c r="L27" s="2"/>
      <x:c r="M27" s="2"/>
      <x:c r="N27" s="2"/>
      <x:c r="O27" s="2"/>
      <x:c r="P27" s="2"/>
      <x:c r="Q27" s="2"/>
      <x:c r="R27" s="2"/>
      <x:c r="S27" s="2"/>
      <x:c r="T27" s="2"/>
      <x:c r="U27" s="2"/>
      <x:c r="V27" s="2"/>
      <x:c r="W27" s="2"/>
      <x:c r="X27" s="2"/>
      <x:c r="Y27" s="2"/>
      <x:c r="Z27" s="2"/>
    </x:row>
    <x:row r="28">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row>
    <x:row r="29">
      <x:c r="A29" s="2"/>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sheetData>
  <x:mergeCells>
    <x:mergeCell ref="A2:E2"/>
    <x:mergeCell ref="A4:E4"/>
  </x:mergeCells>
  <x:dataValidations count="1">
    <x:dataValidation type="list" sqref="D7:D26">
      <x:formula1>"Yes,No"</x:formula1>
    </x:dataValidation>
  </x:dataValidations>
  <x:pageMargins left="0.7" right="0.7" top="0.75" bottom="0.75" header="0.3" footer="0.3"/>
  <x:tableParts count="1">
    <x:tablePart xmlns:r="http://schemas.openxmlformats.org/officeDocument/2006/relationships" r:id="R93904fc017b44bf8"/>
  </x:tableParts>
</x:worksheet>
</file>

<file path=xl/worksheets/sheet6.xml><?xml version="1.0" encoding="utf-8"?>
<x:worksheet xmlns:x="http://schemas.openxmlformats.org/spreadsheetml/2006/main">
  <x:sheetPr>
    <x:tabColor rgb="FF64748B"/>
  </x:sheetPr>
  <x:sheetViews>
    <x:sheetView showGridLines="0" workbookViewId="0"/>
  </x:sheetViews>
  <x:sheetFormatPr defaultRowHeight="15"/>
  <x:cols>
    <x:col min="1" max="1" width="24" hidden="0" customWidth="1"/>
    <x:col min="2" max="2" width="34" hidden="0" customWidth="1"/>
    <x:col min="3" max="3" width="34" hidden="0" customWidth="1"/>
    <x:col min="4" max="4" width="17" hidden="0" customWidth="1"/>
    <x:col min="5" max="5" width="42" hidden="0" customWidth="1"/>
    <x:col min="6" max="6" width="17" hidden="0" customWidth="1"/>
    <x:col min="7" max="7" width="17" hidden="0" customWidth="1"/>
    <x:col min="8" max="8" width="17"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x:c r="A2" s="3" t="str">
        <x:v>Guide &amp; Sources</x:v>
      </x:c>
      <x:c r="B2" s="2"/>
      <x:c r="C2" s="2"/>
      <x:c r="D2" s="2"/>
      <x:c r="E2" s="2"/>
      <x:c r="F2" s="2"/>
      <x:c r="G2" s="2"/>
      <x:c r="H2" s="2"/>
      <x:c r="I2" s="2"/>
      <x:c r="J2" s="2"/>
      <x:c r="K2" s="2"/>
      <x:c r="L2" s="2"/>
      <x:c r="M2" s="2"/>
      <x:c r="N2" s="2"/>
      <x:c r="O2" s="2"/>
      <x:c r="P2" s="2"/>
      <x:c r="Q2" s="2"/>
      <x:c r="R2" s="2"/>
      <x:c r="S2" s="2"/>
      <x:c r="T2" s="2"/>
      <x:c r="U2" s="2"/>
      <x:c r="V2" s="2"/>
      <x:c r="W2" s="2"/>
      <x:c r="X2" s="2"/>
      <x:c r="Y2" s="2"/>
      <x:c r="Z2" s="2"/>
    </x:row>
    <x:row r="3">
      <x:c r="A3" s="4"/>
      <x:c r="B3" s="4"/>
      <x:c r="C3" s="4"/>
      <x:c r="D3" s="4"/>
      <x:c r="E3" s="4"/>
      <x:c r="F3" s="4"/>
      <x:c r="G3" s="4"/>
      <x:c r="H3" s="4"/>
      <x:c r="I3" s="2"/>
      <x:c r="J3" s="2"/>
      <x:c r="K3" s="2"/>
      <x:c r="L3" s="2"/>
      <x:c r="M3" s="2"/>
      <x:c r="N3" s="2"/>
      <x:c r="O3" s="2"/>
      <x:c r="P3" s="2"/>
      <x:c r="Q3" s="2"/>
      <x:c r="R3" s="2"/>
      <x:c r="S3" s="2"/>
      <x:c r="T3" s="2"/>
      <x:c r="U3" s="2"/>
      <x:c r="V3" s="2"/>
      <x:c r="W3" s="2"/>
      <x:c r="X3" s="2"/>
      <x:c r="Y3" s="2"/>
      <x:c r="Z3" s="2"/>
    </x:row>
    <x:row r="4" ht="32" customHeight="1">
      <x:c r="A4" s="6" t="str">
        <x:v>Scope, controls, and evidence used to shape this workbook. Sources checked 2026-09-08.</x:v>
      </x:c>
      <x:c r="B4" s="2"/>
      <x:c r="C4" s="2"/>
      <x:c r="D4" s="2"/>
      <x:c r="E4" s="2"/>
      <x:c r="F4" s="2"/>
      <x:c r="G4" s="2"/>
      <x:c r="H4" s="2"/>
      <x:c r="I4" s="2"/>
      <x:c r="J4" s="2"/>
      <x:c r="K4" s="2"/>
      <x:c r="L4" s="2"/>
      <x:c r="M4" s="2"/>
      <x:c r="N4" s="2"/>
      <x:c r="O4" s="2"/>
      <x:c r="P4" s="2"/>
      <x:c r="Q4" s="2"/>
      <x:c r="R4" s="2"/>
      <x:c r="S4" s="2"/>
      <x:c r="T4" s="2"/>
      <x:c r="U4" s="2"/>
      <x:c r="V4" s="2"/>
      <x:c r="W4" s="2"/>
      <x:c r="X4" s="2"/>
      <x:c r="Y4" s="2"/>
      <x:c r="Z4" s="2"/>
    </x:row>
    <x:row r="5">
      <x:c r="A5" s="2"/>
      <x:c r="B5" s="2"/>
      <x:c r="C5" s="2"/>
      <x:c r="D5" s="2"/>
      <x:c r="E5" s="2"/>
      <x:c r="F5" s="2"/>
      <x:c r="G5" s="2"/>
      <x:c r="H5" s="2"/>
      <x:c r="I5" s="2"/>
      <x:c r="J5" s="2"/>
      <x:c r="K5" s="2"/>
      <x:c r="L5" s="2"/>
      <x:c r="M5" s="2"/>
      <x:c r="N5" s="2"/>
      <x:c r="O5" s="2"/>
      <x:c r="P5" s="2"/>
      <x:c r="Q5" s="2"/>
      <x:c r="R5" s="2"/>
      <x:c r="S5" s="2"/>
      <x:c r="T5" s="2"/>
      <x:c r="U5" s="2"/>
      <x:c r="V5" s="2"/>
      <x:c r="W5" s="2"/>
      <x:c r="X5" s="2"/>
      <x:c r="Y5" s="2"/>
      <x:c r="Z5" s="2"/>
    </x:row>
    <x:row r="6">
      <x:c r="A6" s="13" t="str">
        <x:v>Start safely</x:v>
      </x:c>
      <x:c r="B6" s="34"/>
      <x:c r="C6" s="34"/>
      <x:c r="D6" s="34"/>
      <x:c r="E6" s="34"/>
      <x:c r="F6" s="34"/>
      <x:c r="G6" s="34"/>
      <x:c r="H6" s="14"/>
      <x:c r="I6" s="2"/>
      <x:c r="J6" s="2"/>
      <x:c r="K6" s="2"/>
      <x:c r="L6" s="2"/>
      <x:c r="M6" s="2"/>
      <x:c r="N6" s="2"/>
      <x:c r="O6" s="2"/>
      <x:c r="P6" s="2"/>
      <x:c r="Q6" s="2"/>
      <x:c r="R6" s="2"/>
      <x:c r="S6" s="2"/>
      <x:c r="T6" s="2"/>
      <x:c r="U6" s="2"/>
      <x:c r="V6" s="2"/>
      <x:c r="W6" s="2"/>
      <x:c r="X6" s="2"/>
      <x:c r="Y6" s="2"/>
      <x:c r="Z6" s="2"/>
    </x:row>
    <x:row r="7" ht="28" customHeight="1">
      <x:c r="A7" s="35" t="str">
        <x:v>1</x:v>
      </x:c>
      <x:c r="B7" s="35" t="str">
        <x:v>Clear SAMPLE inputs</x:v>
      </x:c>
      <x:c r="C7" s="35" t="str">
        <x:v>Clear amber sample inputs; retain rows and blue formula cells. All sample records are synthetic.</x:v>
      </x:c>
      <x:c r="D7" s="35" t="str"/>
      <x:c r="E7" s="35" t="str"/>
      <x:c r="F7" s="35" t="str"/>
      <x:c r="G7" s="35" t="str"/>
      <x:c r="H7" s="35" t="str"/>
      <x:c r="I7" s="2"/>
      <x:c r="J7" s="2"/>
      <x:c r="K7" s="2"/>
      <x:c r="L7" s="2"/>
      <x:c r="M7" s="2"/>
      <x:c r="N7" s="2"/>
      <x:c r="O7" s="2"/>
      <x:c r="P7" s="2"/>
      <x:c r="Q7" s="2"/>
      <x:c r="R7" s="2"/>
      <x:c r="S7" s="2"/>
      <x:c r="T7" s="2"/>
      <x:c r="U7" s="2"/>
      <x:c r="V7" s="2"/>
      <x:c r="W7" s="2"/>
      <x:c r="X7" s="2"/>
      <x:c r="Y7" s="2"/>
      <x:c r="Z7" s="2"/>
    </x:row>
    <x:row r="8" ht="28" customHeight="1">
      <x:c r="A8" s="35" t="str">
        <x:v>2</x:v>
      </x:c>
      <x:c r="B8" s="35" t="str">
        <x:v>Set the reporting period</x:v>
      </x:c>
      <x:c r="C8" s="35" t="str">
        <x:v>Edit Dashboard period dates and mileage assumption in amber cells.</x:v>
      </x:c>
      <x:c r="D8" s="35" t="str"/>
      <x:c r="E8" s="35" t="str"/>
      <x:c r="F8" s="35" t="str"/>
      <x:c r="G8" s="35" t="str"/>
      <x:c r="H8" s="35" t="str"/>
      <x:c r="I8" s="2"/>
      <x:c r="J8" s="2"/>
      <x:c r="K8" s="2"/>
      <x:c r="L8" s="2"/>
      <x:c r="M8" s="2"/>
      <x:c r="N8" s="2"/>
      <x:c r="O8" s="2"/>
      <x:c r="P8" s="2"/>
      <x:c r="Q8" s="2"/>
      <x:c r="R8" s="2"/>
      <x:c r="S8" s="2"/>
      <x:c r="T8" s="2"/>
      <x:c r="U8" s="2"/>
      <x:c r="V8" s="2"/>
      <x:c r="W8" s="2"/>
      <x:c r="X8" s="2"/>
      <x:c r="Y8" s="2"/>
      <x:c r="Z8" s="2"/>
    </x:row>
    <x:row r="9" ht="28" customHeight="1">
      <x:c r="A9" s="35" t="str">
        <x:v>3</x:v>
      </x:c>
      <x:c r="B9" s="35" t="str">
        <x:v>Configure services</x:v>
      </x:c>
      <x:c r="C9" s="35" t="str">
        <x:v>Validate service names and rates for your market; no rate is a recommendation.</x:v>
      </x:c>
      <x:c r="D9" s="35" t="str"/>
      <x:c r="E9" s="35" t="str"/>
      <x:c r="F9" s="35" t="str"/>
      <x:c r="G9" s="35" t="str"/>
      <x:c r="H9" s="35" t="str"/>
      <x:c r="I9" s="2"/>
      <x:c r="J9" s="2"/>
      <x:c r="K9" s="2"/>
      <x:c r="L9" s="2"/>
      <x:c r="M9" s="2"/>
      <x:c r="N9" s="2"/>
      <x:c r="O9" s="2"/>
      <x:c r="P9" s="2"/>
      <x:c r="Q9" s="2"/>
      <x:c r="R9" s="2"/>
      <x:c r="S9" s="2"/>
      <x:c r="T9" s="2"/>
      <x:c r="U9" s="2"/>
      <x:c r="V9" s="2"/>
      <x:c r="W9" s="2"/>
      <x:c r="X9" s="2"/>
      <x:c r="Y9" s="2"/>
      <x:c r="Z9" s="2"/>
    </x:row>
    <x:row r="10" ht="28" customHeight="1">
      <x:c r="A10" s="35" t="str">
        <x:v>4</x:v>
      </x:c>
      <x:c r="B10" s="35" t="str">
        <x:v>Log minimal operational data</x:v>
      </x:c>
      <x:c r="C10" s="35" t="str">
        <x:v>Use identifiers, not secrets. Reconcile payments and receipts in their systems of record.</x:v>
      </x:c>
      <x:c r="D10" s="35" t="str"/>
      <x:c r="E10" s="35" t="str"/>
      <x:c r="F10" s="35" t="str"/>
      <x:c r="G10" s="35" t="str"/>
      <x:c r="H10" s="35" t="str"/>
      <x:c r="I10" s="2"/>
      <x:c r="J10" s="2"/>
      <x:c r="K10" s="2"/>
      <x:c r="L10" s="2"/>
      <x:c r="M10" s="2"/>
      <x:c r="N10" s="2"/>
      <x:c r="O10" s="2"/>
      <x:c r="P10" s="2"/>
      <x:c r="Q10" s="2"/>
      <x:c r="R10" s="2"/>
      <x:c r="S10" s="2"/>
      <x:c r="T10" s="2"/>
      <x:c r="U10" s="2"/>
      <x:c r="V10" s="2"/>
      <x:c r="W10" s="2"/>
      <x:c r="X10" s="2"/>
      <x:c r="Y10" s="2"/>
      <x:c r="Z10" s="2"/>
    </x:row>
    <x:row r="11" ht="28" customHeight="1">
      <x:c r="A11" s="35" t="str">
        <x:v>5</x:v>
      </x:c>
      <x:c r="B11" s="35" t="str">
        <x:v>Review and sanitize exports</x:v>
      </x:c>
      <x:c r="C11" s="35" t="str">
        <x:v>Before sharing, remove sensitive notes and export only the minimum necessary scope.</x:v>
      </x:c>
      <x:c r="D11" s="35" t="str"/>
      <x:c r="E11" s="35" t="str"/>
      <x:c r="F11" s="35" t="str"/>
      <x:c r="G11" s="35" t="str"/>
      <x:c r="H11" s="35" t="str"/>
      <x:c r="I11" s="2"/>
      <x:c r="J11" s="2"/>
      <x:c r="K11" s="2"/>
      <x:c r="L11" s="2"/>
      <x:c r="M11" s="2"/>
      <x:c r="N11" s="2"/>
      <x:c r="O11" s="2"/>
      <x:c r="P11" s="2"/>
      <x:c r="Q11" s="2"/>
      <x:c r="R11" s="2"/>
      <x:c r="S11" s="2"/>
      <x:c r="T11" s="2"/>
      <x:c r="U11" s="2"/>
      <x:c r="V11" s="2"/>
      <x:c r="W11" s="2"/>
      <x:c r="X11" s="2"/>
      <x:c r="Y11" s="2"/>
      <x:c r="Z11" s="2"/>
    </x:row>
    <x:row r="12">
      <x:c r="A12" s="2"/>
      <x:c r="B12" s="2"/>
      <x:c r="C12" s="2"/>
      <x:c r="D12" s="2"/>
      <x:c r="E12" s="2"/>
      <x:c r="F12" s="2"/>
      <x:c r="G12" s="2"/>
      <x:c r="H12" s="2"/>
      <x:c r="I12" s="2"/>
      <x:c r="J12" s="2"/>
      <x:c r="K12" s="2"/>
      <x:c r="L12" s="2"/>
      <x:c r="M12" s="2"/>
      <x:c r="N12" s="2"/>
      <x:c r="O12" s="2"/>
      <x:c r="P12" s="2"/>
      <x:c r="Q12" s="2"/>
      <x:c r="R12" s="2"/>
      <x:c r="S12" s="2"/>
      <x:c r="T12" s="2"/>
      <x:c r="U12" s="2"/>
      <x:c r="V12" s="2"/>
      <x:c r="W12" s="2"/>
      <x:c r="X12" s="2"/>
      <x:c r="Y12" s="2"/>
      <x:c r="Z12" s="2"/>
    </x:row>
    <x:row r="13">
      <x:c r="A13" s="13" t="str">
        <x:v>Evidence shaping the problem and workflow</x:v>
      </x:c>
      <x:c r="B13" s="34"/>
      <x:c r="C13" s="34"/>
      <x:c r="D13" s="34"/>
      <x:c r="E13" s="34"/>
      <x:c r="F13" s="34"/>
      <x:c r="G13" s="34"/>
      <x:c r="H13" s="14"/>
      <x:c r="I13" s="2"/>
      <x:c r="J13" s="2"/>
      <x:c r="K13" s="2"/>
      <x:c r="L13" s="2"/>
      <x:c r="M13" s="2"/>
      <x:c r="N13" s="2"/>
      <x:c r="O13" s="2"/>
      <x:c r="P13" s="2"/>
      <x:c r="Q13" s="2"/>
      <x:c r="R13" s="2"/>
      <x:c r="S13" s="2"/>
      <x:c r="T13" s="2"/>
      <x:c r="U13" s="2"/>
      <x:c r="V13" s="2"/>
      <x:c r="W13" s="2"/>
      <x:c r="X13" s="2"/>
      <x:c r="Y13" s="2"/>
      <x:c r="Z13" s="2"/>
    </x:row>
    <x:row r="14" ht="30" customHeight="1">
      <x:c r="A14" s="43" t="str">
        <x:v>Source</x:v>
      </x:c>
      <x:c r="B14" s="44" t="str">
        <x:v>Observed evidence</x:v>
      </x:c>
      <x:c r="C14" s="44" t="str">
        <x:v>Product implication</x:v>
      </x:c>
      <x:c r="D14" s="44" t="str">
        <x:v>Checked</x:v>
      </x:c>
      <x:c r="E14" s="44" t="str">
        <x:v>URL</x:v>
      </x:c>
      <x:c r="F14" s="44" t="str"/>
      <x:c r="G14" s="44" t="str"/>
      <x:c r="H14" s="45" t="str"/>
      <x:c r="I14" s="2"/>
      <x:c r="J14" s="2"/>
      <x:c r="K14" s="2"/>
      <x:c r="L14" s="2"/>
      <x:c r="M14" s="2"/>
      <x:c r="N14" s="2"/>
      <x:c r="O14" s="2"/>
      <x:c r="P14" s="2"/>
      <x:c r="Q14" s="2"/>
      <x:c r="R14" s="2"/>
      <x:c r="S14" s="2"/>
      <x:c r="T14" s="2"/>
      <x:c r="U14" s="2"/>
      <x:c r="V14" s="2"/>
      <x:c r="W14" s="2"/>
      <x:c r="X14" s="2"/>
      <x:c r="Y14" s="2"/>
      <x:c r="Z14" s="2"/>
    </x:row>
    <x:row r="15" ht="64" customHeight="1">
      <x:c r="A15" s="35" t="str">
        <x:v>Pet Sitters International — 2026 industry survey</x:v>
      </x:c>
      <x:c r="B15" s="35" t="str">
        <x:v>99% of member businesses independently owned; 68% expected 2026 revenue growth; U.S. member average 2025 gross revenue $112,423.</x:v>
      </x:c>
      <x:c r="C15" s="35" t="str">
        <x:v>A lightweight owner-operator operations view is plausible; these are member-survey figures, not total-market estimates.</x:v>
      </x:c>
      <x:c r="D15" s="73" t="n">
        <x:v>46273</x:v>
      </x:c>
      <x:c r="E15" s="35" t="str">
        <x:v>https://www.petsit.com/industry-stats-and-facts</x:v>
      </x:c>
      <x:c r="F15" s="2"/>
      <x:c r="G15" s="2"/>
      <x:c r="H15" s="2"/>
      <x:c r="I15" s="2"/>
      <x:c r="J15" s="2"/>
      <x:c r="K15" s="2"/>
      <x:c r="L15" s="2"/>
      <x:c r="M15" s="2"/>
      <x:c r="N15" s="2"/>
      <x:c r="O15" s="2"/>
      <x:c r="P15" s="2"/>
      <x:c r="Q15" s="2"/>
      <x:c r="R15" s="2"/>
      <x:c r="S15" s="2"/>
      <x:c r="T15" s="2"/>
      <x:c r="U15" s="2"/>
      <x:c r="V15" s="2"/>
      <x:c r="W15" s="2"/>
      <x:c r="X15" s="2"/>
      <x:c r="Y15" s="2"/>
      <x:c r="Z15" s="2"/>
    </x:row>
    <x:row r="16" ht="64" customHeight="1">
      <x:c r="A16" s="35" t="str">
        <x:v>American Pet Products Association — 2026 State of the Industry</x:v>
      </x:c>
      <x:c r="B16" s="35" t="str">
        <x:v>95 million U.S. households owned at least one pet in 2025; industry expenditure was $158B in 2025.</x:v>
      </x:c>
      <x:c r="C16" s="35" t="str">
        <x:v>A large pet-owning base supports testing the beachhead; total pet spend is not pet-sitting revenue.</x:v>
      </x:c>
      <x:c r="D16" s="73" t="n">
        <x:v>46273</x:v>
      </x:c>
      <x:c r="E16" s="35" t="str">
        <x:v>https://americanpetproducts.org/2026-state-of-the-industry</x:v>
      </x:c>
      <x:c r="F16" s="2"/>
      <x:c r="G16" s="2"/>
      <x:c r="H16" s="2"/>
      <x:c r="I16" s="2"/>
      <x:c r="J16" s="2"/>
      <x:c r="K16" s="2"/>
      <x:c r="L16" s="2"/>
      <x:c r="M16" s="2"/>
      <x:c r="N16" s="2"/>
      <x:c r="O16" s="2"/>
      <x:c r="P16" s="2"/>
      <x:c r="Q16" s="2"/>
      <x:c r="R16" s="2"/>
      <x:c r="S16" s="2"/>
      <x:c r="T16" s="2"/>
      <x:c r="U16" s="2"/>
      <x:c r="V16" s="2"/>
      <x:c r="W16" s="2"/>
      <x:c r="X16" s="2"/>
      <x:c r="Y16" s="2"/>
      <x:c r="Z16" s="2"/>
    </x:row>
    <x:row r="17" ht="64" customHeight="1">
      <x:c r="A17" s="35" t="str">
        <x:v>Rover Help Center — running a pet-care business</x:v>
      </x:c>
      <x:c r="B17" s="35" t="str">
        <x:v>Rover highlights pet profiles, booking schedules, customized rates, client updates, and payment tooling.</x:v>
      </x:c>
      <x:c r="C17" s="35" t="str">
        <x:v>Visits, pet references, rates, completion, follow-up, and payment visibility are core workflow fields.</x:v>
      </x:c>
      <x:c r="D17" s="73" t="n">
        <x:v>46273</x:v>
      </x:c>
      <x:c r="E17" s="35" t="str">
        <x:v>https://support.rover.com/hc/en-us/articles/206351003-Why-should-I-run-my-pet-care-business-on-Rover</x:v>
      </x:c>
      <x:c r="F17" s="2"/>
      <x:c r="G17" s="2"/>
      <x:c r="H17" s="2"/>
      <x:c r="I17" s="2"/>
      <x:c r="J17" s="2"/>
      <x:c r="K17" s="2"/>
      <x:c r="L17" s="2"/>
      <x:c r="M17" s="2"/>
      <x:c r="N17" s="2"/>
      <x:c r="O17" s="2"/>
      <x:c r="P17" s="2"/>
      <x:c r="Q17" s="2"/>
      <x:c r="R17" s="2"/>
      <x:c r="S17" s="2"/>
      <x:c r="T17" s="2"/>
      <x:c r="U17" s="2"/>
      <x:c r="V17" s="2"/>
      <x:c r="W17" s="2"/>
      <x:c r="X17" s="2"/>
      <x:c r="Y17" s="2"/>
      <x:c r="Z17" s="2"/>
    </x:row>
    <x:row r="18">
      <x:c r="A18" s="2"/>
      <x:c r="B18" s="2"/>
      <x:c r="C18" s="2"/>
      <x:c r="D18" s="2"/>
      <x:c r="E18" s="2"/>
      <x:c r="F18" s="2"/>
      <x:c r="G18" s="2"/>
      <x:c r="H18" s="2"/>
      <x:c r="I18" s="2"/>
      <x:c r="J18" s="2"/>
      <x:c r="K18" s="2"/>
      <x:c r="L18" s="2"/>
      <x:c r="M18" s="2"/>
      <x:c r="N18" s="2"/>
      <x:c r="O18" s="2"/>
      <x:c r="P18" s="2"/>
      <x:c r="Q18" s="2"/>
      <x:c r="R18" s="2"/>
      <x:c r="S18" s="2"/>
      <x:c r="T18" s="2"/>
      <x:c r="U18" s="2"/>
      <x:c r="V18" s="2"/>
      <x:c r="W18" s="2"/>
      <x:c r="X18" s="2"/>
      <x:c r="Y18" s="2"/>
      <x:c r="Z18" s="2"/>
    </x:row>
    <x:row r="19">
      <x:c r="A19" s="13" t="str">
        <x:v>Control boundaries</x:v>
      </x:c>
      <x:c r="B19" s="34"/>
      <x:c r="C19" s="34"/>
      <x:c r="D19" s="34"/>
      <x:c r="E19" s="34"/>
      <x:c r="F19" s="34"/>
      <x:c r="G19" s="34"/>
      <x:c r="H19" s="14"/>
      <x:c r="I19" s="2"/>
      <x:c r="J19" s="2"/>
      <x:c r="K19" s="2"/>
      <x:c r="L19" s="2"/>
      <x:c r="M19" s="2"/>
      <x:c r="N19" s="2"/>
      <x:c r="O19" s="2"/>
      <x:c r="P19" s="2"/>
      <x:c r="Q19" s="2"/>
      <x:c r="R19" s="2"/>
      <x:c r="S19" s="2"/>
      <x:c r="T19" s="2"/>
      <x:c r="U19" s="2"/>
      <x:c r="V19" s="2"/>
      <x:c r="W19" s="2"/>
      <x:c r="X19" s="2"/>
      <x:c r="Y19" s="2"/>
      <x:c r="Z19" s="2"/>
    </x:row>
    <x:row r="20" ht="32" customHeight="1">
      <x:c r="A20" s="35" t="str">
        <x:v>Local-first</x:v>
      </x:c>
      <x:c r="B20" s="35" t="str">
        <x:v>No network connection, payment processor, marketplace, automation, macro, or external data refresh is built into this file.</x:v>
      </x:c>
      <x:c r="C20" s="35" t="str"/>
      <x:c r="D20" s="35" t="str"/>
      <x:c r="E20" s="35" t="str"/>
      <x:c r="F20" s="35" t="str"/>
      <x:c r="G20" s="35" t="str"/>
      <x:c r="H20" s="35" t="str"/>
      <x:c r="I20" s="2"/>
      <x:c r="J20" s="2"/>
      <x:c r="K20" s="2"/>
      <x:c r="L20" s="2"/>
      <x:c r="M20" s="2"/>
      <x:c r="N20" s="2"/>
      <x:c r="O20" s="2"/>
      <x:c r="P20" s="2"/>
      <x:c r="Q20" s="2"/>
      <x:c r="R20" s="2"/>
      <x:c r="S20" s="2"/>
      <x:c r="T20" s="2"/>
      <x:c r="U20" s="2"/>
      <x:c r="V20" s="2"/>
      <x:c r="W20" s="2"/>
      <x:c r="X20" s="2"/>
      <x:c r="Y20" s="2"/>
      <x:c r="Z20" s="2"/>
    </x:row>
    <x:row r="21" ht="32" customHeight="1">
      <x:c r="A21" s="35" t="str">
        <x:v>Data minimization</x:v>
      </x:c>
      <x:c r="B21" s="35" t="str">
        <x:v>Do not store door/alarm codes, full addresses, account numbers, detailed medical records, or emergency secrets.</x:v>
      </x:c>
      <x:c r="C21" s="35" t="str"/>
      <x:c r="D21" s="35" t="str"/>
      <x:c r="E21" s="35" t="str"/>
      <x:c r="F21" s="35" t="str"/>
      <x:c r="G21" s="35" t="str"/>
      <x:c r="H21" s="35" t="str"/>
      <x:c r="I21" s="2"/>
      <x:c r="J21" s="2"/>
      <x:c r="K21" s="2"/>
      <x:c r="L21" s="2"/>
      <x:c r="M21" s="2"/>
      <x:c r="N21" s="2"/>
      <x:c r="O21" s="2"/>
      <x:c r="P21" s="2"/>
      <x:c r="Q21" s="2"/>
      <x:c r="R21" s="2"/>
      <x:c r="S21" s="2"/>
      <x:c r="T21" s="2"/>
      <x:c r="U21" s="2"/>
      <x:c r="V21" s="2"/>
      <x:c r="W21" s="2"/>
      <x:c r="X21" s="2"/>
      <x:c r="Y21" s="2"/>
      <x:c r="Z21" s="2"/>
    </x:row>
    <x:row r="22" ht="32" customHeight="1">
      <x:c r="A22" s="35" t="str">
        <x:v>Truth</x:v>
      </x:c>
      <x:c r="B22" s="35" t="str">
        <x:v>Dashboard values are workbook calculations over entered rows, not proof of service, payment settlement, tax treatment, or profitability.</x:v>
      </x:c>
      <x:c r="C22" s="35" t="str"/>
      <x:c r="D22" s="35" t="str"/>
      <x:c r="E22" s="35" t="str"/>
      <x:c r="F22" s="35" t="str"/>
      <x:c r="G22" s="35" t="str"/>
      <x:c r="H22" s="35" t="str"/>
      <x:c r="I22" s="2"/>
      <x:c r="J22" s="2"/>
      <x:c r="K22" s="2"/>
      <x:c r="L22" s="2"/>
      <x:c r="M22" s="2"/>
      <x:c r="N22" s="2"/>
      <x:c r="O22" s="2"/>
      <x:c r="P22" s="2"/>
      <x:c r="Q22" s="2"/>
      <x:c r="R22" s="2"/>
      <x:c r="S22" s="2"/>
      <x:c r="T22" s="2"/>
      <x:c r="U22" s="2"/>
      <x:c r="V22" s="2"/>
      <x:c r="W22" s="2"/>
      <x:c r="X22" s="2"/>
      <x:c r="Y22" s="2"/>
      <x:c r="Z22" s="2"/>
    </x:row>
    <x:row r="23" ht="32" customHeight="1">
      <x:c r="A23" s="35" t="str">
        <x:v>Operator review</x:v>
      </x:c>
      <x:c r="B23" s="35" t="str">
        <x:v>Confirm services, payments, receipts, safety instructions, and emergency plans in approved systems before acting.</x:v>
      </x:c>
      <x:c r="C23" s="35" t="str"/>
      <x:c r="D23" s="35" t="str"/>
      <x:c r="E23" s="35" t="str"/>
      <x:c r="F23" s="35" t="str"/>
      <x:c r="G23" s="35" t="str"/>
      <x:c r="H23" s="35" t="str"/>
      <x:c r="I23" s="2"/>
      <x:c r="J23" s="2"/>
      <x:c r="K23" s="2"/>
      <x:c r="L23" s="2"/>
      <x:c r="M23" s="2"/>
      <x:c r="N23" s="2"/>
      <x:c r="O23" s="2"/>
      <x:c r="P23" s="2"/>
      <x:c r="Q23" s="2"/>
      <x:c r="R23" s="2"/>
      <x:c r="S23" s="2"/>
      <x:c r="T23" s="2"/>
      <x:c r="U23" s="2"/>
      <x:c r="V23" s="2"/>
      <x:c r="W23" s="2"/>
      <x:c r="X23" s="2"/>
      <x:c r="Y23" s="2"/>
      <x:c r="Z23" s="2"/>
    </x:row>
    <x:row r="24" ht="32" customHeight="1">
      <x:c r="A24" s="35" t="str">
        <x:v>Sharing</x:v>
      </x:c>
      <x:c r="B24" s="35" t="str">
        <x:v>Create a sanitized copy and disclose the reporting period and assumptions before sharing any output.</x:v>
      </x:c>
      <x:c r="C24" s="35" t="str"/>
      <x:c r="D24" s="35" t="str"/>
      <x:c r="E24" s="35" t="str"/>
      <x:c r="F24" s="35" t="str"/>
      <x:c r="G24" s="35" t="str"/>
      <x:c r="H24" s="35" t="str"/>
      <x:c r="I24" s="2"/>
      <x:c r="J24" s="2"/>
      <x:c r="K24" s="2"/>
      <x:c r="L24" s="2"/>
      <x:c r="M24" s="2"/>
      <x:c r="N24" s="2"/>
      <x:c r="O24" s="2"/>
      <x:c r="P24" s="2"/>
      <x:c r="Q24" s="2"/>
      <x:c r="R24" s="2"/>
      <x:c r="S24" s="2"/>
      <x:c r="T24" s="2"/>
      <x:c r="U24" s="2"/>
      <x:c r="V24" s="2"/>
      <x:c r="W24" s="2"/>
      <x:c r="X24" s="2"/>
      <x:c r="Y24" s="2"/>
      <x:c r="Z24" s="2"/>
    </x:row>
    <x:row r="25">
      <x:c r="A25" s="2"/>
      <x:c r="B25" s="2"/>
      <x:c r="C25" s="2"/>
      <x:c r="D25" s="2"/>
      <x:c r="E25" s="2"/>
      <x:c r="F25" s="2"/>
      <x:c r="G25" s="2"/>
      <x:c r="H25" s="2"/>
      <x:c r="I25" s="2"/>
      <x:c r="J25" s="2"/>
      <x:c r="K25" s="2"/>
      <x:c r="L25" s="2"/>
      <x:c r="M25" s="2"/>
      <x:c r="N25" s="2"/>
      <x:c r="O25" s="2"/>
      <x:c r="P25" s="2"/>
      <x:c r="Q25" s="2"/>
      <x:c r="R25" s="2"/>
      <x:c r="S25" s="2"/>
      <x:c r="T25" s="2"/>
      <x:c r="U25" s="2"/>
      <x:c r="V25" s="2"/>
      <x:c r="W25" s="2"/>
      <x:c r="X25" s="2"/>
      <x:c r="Y25" s="2"/>
      <x:c r="Z25" s="2"/>
    </x:row>
    <x:row r="26">
      <x:c r="A26" s="2"/>
      <x:c r="B26" s="2"/>
      <x:c r="C26" s="2"/>
      <x:c r="D26" s="2"/>
      <x:c r="E26" s="2"/>
      <x:c r="F26" s="2"/>
      <x:c r="G26" s="2"/>
      <x:c r="H26" s="2"/>
      <x:c r="I26" s="2"/>
      <x:c r="J26" s="2"/>
      <x:c r="K26" s="2"/>
      <x:c r="L26" s="2"/>
      <x:c r="M26" s="2"/>
      <x:c r="N26" s="2"/>
      <x:c r="O26" s="2"/>
      <x:c r="P26" s="2"/>
      <x:c r="Q26" s="2"/>
      <x:c r="R26" s="2"/>
      <x:c r="S26" s="2"/>
      <x:c r="T26" s="2"/>
      <x:c r="U26" s="2"/>
      <x:c r="V26" s="2"/>
      <x:c r="W26" s="2"/>
      <x:c r="X26" s="2"/>
      <x:c r="Y26" s="2"/>
      <x:c r="Z26" s="2"/>
    </x:row>
    <x:row r="27">
      <x:c r="A27" s="2"/>
      <x:c r="B27" s="2"/>
      <x:c r="C27" s="2"/>
      <x:c r="D27" s="2"/>
      <x:c r="E27" s="2"/>
      <x:c r="F27" s="2"/>
      <x:c r="G27" s="2"/>
      <x:c r="H27" s="2"/>
      <x:c r="I27" s="2"/>
      <x:c r="J27" s="2"/>
      <x:c r="K27" s="2"/>
      <x:c r="L27" s="2"/>
      <x:c r="M27" s="2"/>
      <x:c r="N27" s="2"/>
      <x:c r="O27" s="2"/>
      <x:c r="P27" s="2"/>
      <x:c r="Q27" s="2"/>
      <x:c r="R27" s="2"/>
      <x:c r="S27" s="2"/>
      <x:c r="T27" s="2"/>
      <x:c r="U27" s="2"/>
      <x:c r="V27" s="2"/>
      <x:c r="W27" s="2"/>
      <x:c r="X27" s="2"/>
      <x:c r="Y27" s="2"/>
      <x:c r="Z27" s="2"/>
    </x:row>
    <x:row r="28">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row>
    <x:row r="29">
      <x:c r="A29" s="2"/>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sheetData>
  <x:mergeCells>
    <x:mergeCell ref="A2:H2"/>
    <x:mergeCell ref="A4:H4"/>
    <x:mergeCell ref="A6:H6"/>
    <x:mergeCell ref="C7:H7"/>
    <x:mergeCell ref="C8:H8"/>
    <x:mergeCell ref="C9:H9"/>
    <x:mergeCell ref="C10:H10"/>
    <x:mergeCell ref="C11:H11"/>
    <x:mergeCell ref="A13:H13"/>
    <x:mergeCell ref="A19:H19"/>
    <x:mergeCell ref="B20:H20"/>
    <x:mergeCell ref="B21:H21"/>
    <x:mergeCell ref="B22:H22"/>
    <x:mergeCell ref="B23:H23"/>
    <x:mergeCell ref="B24:H24"/>
  </x:mergeCells>
  <x:pageMargins left="0.7" right="0.7" top="0.75" bottom="0.75" header="0.3" footer="0.3"/>
</x:worksheet>
</file>